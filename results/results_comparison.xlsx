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mblr1-my.sharepoint.com/personal/souravd22_iimb_ac_in/Documents/Term 4/CCS/"/>
    </mc:Choice>
  </mc:AlternateContent>
  <xr:revisionPtr revIDLastSave="147" documentId="8_{196EA6F8-9D43-4622-893A-FEE0B91DCBCC}" xr6:coauthVersionLast="47" xr6:coauthVersionMax="47" xr10:uidLastSave="{CC54B044-FEEC-4611-8151-19257933A987}"/>
  <bookViews>
    <workbookView xWindow="-98" yWindow="-98" windowWidth="22695" windowHeight="14476" activeTab="3" xr2:uid="{61A06B54-ADDC-447D-BFD9-DFAB59F61086}"/>
  </bookViews>
  <sheets>
    <sheet name="xP" sheetId="1" r:id="rId1"/>
    <sheet name="xPMin" sheetId="2" r:id="rId2"/>
    <sheet name="Best" sheetId="4" r:id="rId3"/>
    <sheet name="Comparis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F13" i="3"/>
  <c r="I13" i="3"/>
  <c r="J13" i="3"/>
  <c r="N13" i="3"/>
  <c r="O13" i="3"/>
  <c r="P13" i="3"/>
  <c r="M41" i="3"/>
  <c r="M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2" i="3"/>
  <c r="N11" i="3"/>
  <c r="N10" i="3"/>
  <c r="N9" i="3"/>
  <c r="N8" i="3"/>
  <c r="N7" i="3"/>
  <c r="N6" i="3"/>
  <c r="N5" i="3"/>
  <c r="N4" i="3"/>
  <c r="N3" i="3"/>
  <c r="L40" i="3"/>
  <c r="K40" i="3"/>
  <c r="I40" i="3"/>
  <c r="E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2" i="3"/>
  <c r="I11" i="3"/>
  <c r="I10" i="3"/>
  <c r="I9" i="3"/>
  <c r="I8" i="3"/>
  <c r="I7" i="3"/>
  <c r="I6" i="3"/>
  <c r="I5" i="3"/>
  <c r="I4" i="3"/>
  <c r="I3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2" i="3"/>
  <c r="E11" i="3"/>
  <c r="E10" i="3"/>
  <c r="E9" i="3"/>
  <c r="E8" i="3"/>
  <c r="E7" i="3"/>
  <c r="E6" i="3"/>
  <c r="E5" i="3"/>
  <c r="E4" i="3"/>
  <c r="E3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2" i="3"/>
  <c r="J11" i="3"/>
  <c r="J10" i="3"/>
  <c r="J9" i="3"/>
  <c r="J8" i="3"/>
  <c r="J7" i="3"/>
  <c r="J6" i="3"/>
  <c r="J5" i="3"/>
  <c r="J4" i="3"/>
  <c r="J3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2" i="3"/>
  <c r="F11" i="3"/>
  <c r="F10" i="3"/>
  <c r="F9" i="3"/>
  <c r="F8" i="3"/>
  <c r="F7" i="3"/>
  <c r="F6" i="3"/>
  <c r="F5" i="3"/>
  <c r="F4" i="3"/>
  <c r="F3" i="3"/>
  <c r="D40" i="3"/>
  <c r="G40" i="3"/>
  <c r="H40" i="3"/>
  <c r="C40" i="3"/>
  <c r="P4" i="3"/>
  <c r="P5" i="3"/>
  <c r="P6" i="3"/>
  <c r="P7" i="3"/>
  <c r="P8" i="3"/>
  <c r="P9" i="3"/>
  <c r="P10" i="3"/>
  <c r="P11" i="3"/>
  <c r="P12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3" i="3"/>
  <c r="O4" i="3"/>
  <c r="O5" i="3"/>
  <c r="O6" i="3"/>
  <c r="O7" i="3"/>
  <c r="O8" i="3"/>
  <c r="O9" i="3"/>
  <c r="O10" i="3"/>
  <c r="O11" i="3"/>
  <c r="O12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3" i="3"/>
  <c r="N40" i="3" l="1"/>
  <c r="J41" i="3"/>
  <c r="F40" i="3"/>
  <c r="F41" i="3"/>
  <c r="J40" i="3"/>
  <c r="P40" i="3"/>
  <c r="O40" i="3"/>
</calcChain>
</file>

<file path=xl/sharedStrings.xml><?xml version="1.0" encoding="utf-8"?>
<sst xmlns="http://schemas.openxmlformats.org/spreadsheetml/2006/main" count="1290" uniqueCount="198">
  <si>
    <t>gw</t>
  </si>
  <si>
    <t>total_xP</t>
  </si>
  <si>
    <t>actual_points</t>
  </si>
  <si>
    <t>player1</t>
  </si>
  <si>
    <t>player2</t>
  </si>
  <si>
    <t>player3</t>
  </si>
  <si>
    <t>player4</t>
  </si>
  <si>
    <t>player5</t>
  </si>
  <si>
    <t>player6</t>
  </si>
  <si>
    <t>player7</t>
  </si>
  <si>
    <t>player8</t>
  </si>
  <si>
    <t>player9</t>
  </si>
  <si>
    <t>player10</t>
  </si>
  <si>
    <t>player11</t>
  </si>
  <si>
    <t>Trent Alexander-Arnold</t>
  </si>
  <si>
    <t>Andrew Robertson</t>
  </si>
  <si>
    <t>Erling Haaland</t>
  </si>
  <si>
    <t>Ederson Santana de Moraes</t>
  </si>
  <si>
    <t>Virgil van Dijk</t>
  </si>
  <si>
    <t>JoÃ£o Cancelo</t>
  </si>
  <si>
    <t>Ben Chilwell</t>
  </si>
  <si>
    <t>Kai Havertz</t>
  </si>
  <si>
    <t>Gabriel Martinelli Silva</t>
  </si>
  <si>
    <t>Christian Pulisic</t>
  </si>
  <si>
    <t>Bruno GuimarÃ£es Rodriguez Moura</t>
  </si>
  <si>
    <t>Kevin De Bruyne</t>
  </si>
  <si>
    <t>Gabriel Fernando de Jesus</t>
  </si>
  <si>
    <t>Rodrigo Moreno</t>
  </si>
  <si>
    <t>Fabian SchÃ¤r</t>
  </si>
  <si>
    <t>JosÃ© Malheiro de SÃ¡</t>
  </si>
  <si>
    <t>Pascal GroÃŸ</t>
  </si>
  <si>
    <t>Ivan Toney</t>
  </si>
  <si>
    <t>Kieran Trippier</t>
  </si>
  <si>
    <t>William Saliba</t>
  </si>
  <si>
    <t>Ilkay GÃ¼ndogan</t>
  </si>
  <si>
    <t>Oleksandr Zinchenko</t>
  </si>
  <si>
    <t>Dean Henderson</t>
  </si>
  <si>
    <t>Ivan PeriÅ¡iÄ‡</t>
  </si>
  <si>
    <t>Martin Ã˜degaard</t>
  </si>
  <si>
    <t>Luis DÃ­az</t>
  </si>
  <si>
    <t>Roberto Firmino</t>
  </si>
  <si>
    <t>Harry Kane</t>
  </si>
  <si>
    <t>Robert SÃ¡nchez</t>
  </si>
  <si>
    <t>Gabriel dos Santos MagalhÃ£es</t>
  </si>
  <si>
    <t>Bernardo Veiga de Carvalho e Silva</t>
  </si>
  <si>
    <t>Alexis Mac Allister</t>
  </si>
  <si>
    <t>Marcus Rashford</t>
  </si>
  <si>
    <t>Bukayo Saka</t>
  </si>
  <si>
    <t>Aleksandar MitroviÄ‡</t>
  </si>
  <si>
    <t>Pierre-Emile HÃ¸jbjerg</t>
  </si>
  <si>
    <t>Nick Pope</t>
  </si>
  <si>
    <t>Conor Coady</t>
  </si>
  <si>
    <t>Leandro Trossard</t>
  </si>
  <si>
    <t>Phil Foden</t>
  </si>
  <si>
    <t>Illan Meslier</t>
  </si>
  <si>
    <t>Son Heung-min</t>
  </si>
  <si>
    <t>Pierre-Emerick Aubameyang</t>
  </si>
  <si>
    <t>James Maddison</t>
  </si>
  <si>
    <t>Tyrone Mings</t>
  </si>
  <si>
    <t>Ashley Young</t>
  </si>
  <si>
    <t>Miguel AlmirÃ³n Rejala</t>
  </si>
  <si>
    <t>Mason Mount</t>
  </si>
  <si>
    <t>Kepa Arrizabalaga</t>
  </si>
  <si>
    <t>Luka Milivojevic</t>
  </si>
  <si>
    <t>Sam Greenwood</t>
  </si>
  <si>
    <t>Carlos Ribeiro Dias</t>
  </si>
  <si>
    <t>Marvelous Nakamba</t>
  </si>
  <si>
    <t>Nampalys Mendy</t>
  </si>
  <si>
    <t>Carney Chukwuemeka</t>
  </si>
  <si>
    <t>Cameron Archer</t>
  </si>
  <si>
    <t>Daniel Iversen</t>
  </si>
  <si>
    <t>Robert Kenedy Nunes do Nascimento</t>
  </si>
  <si>
    <t>Leo Fuhr Hjelde</t>
  </si>
  <si>
    <t>James Tomkins</t>
  </si>
  <si>
    <t>Alisson Ramses Becker</t>
  </si>
  <si>
    <t>Timothy Castagne</t>
  </si>
  <si>
    <t>Granit Xhaka</t>
  </si>
  <si>
    <t>Callum Wilson</t>
  </si>
  <si>
    <t>Mohamed Salah</t>
  </si>
  <si>
    <t>Crysencio Summerville</t>
  </si>
  <si>
    <t>RÃºben da Silva Neves</t>
  </si>
  <si>
    <t>Romain Perraud</t>
  </si>
  <si>
    <t>Marcus Tavernier</t>
  </si>
  <si>
    <t>Rodrigo Bentancur</t>
  </si>
  <si>
    <t>Darwin NÃºÃ±ez Ribeiro</t>
  </si>
  <si>
    <t>Danny Ward</t>
  </si>
  <si>
    <t>Tim Ream</t>
  </si>
  <si>
    <t>Solly March</t>
  </si>
  <si>
    <t>Joelinton CÃ¡ssio ApolinÃ¡rio de Lira</t>
  </si>
  <si>
    <t>Yerry Mina</t>
  </si>
  <si>
    <t>Luke Shaw</t>
  </si>
  <si>
    <t>Raheem Sterling</t>
  </si>
  <si>
    <t>Riyad Mahrez</t>
  </si>
  <si>
    <t>David De Gea Quintana</t>
  </si>
  <si>
    <t>James Ward-Prowse</t>
  </si>
  <si>
    <t>Dan Burn</t>
  </si>
  <si>
    <t>Serge Aurier</t>
  </si>
  <si>
    <t>Emiliano BuendÃ­a Stati</t>
  </si>
  <si>
    <t>David Raya Martin</t>
  </si>
  <si>
    <t>Sven Botman</t>
  </si>
  <si>
    <t>Kaoru Mitoma</t>
  </si>
  <si>
    <t>Ben Mee</t>
  </si>
  <si>
    <t>Brennan Johnson</t>
  </si>
  <si>
    <t>Pervis EstupiÃ±Ã¡n</t>
  </si>
  <si>
    <t>Mathias Jensen</t>
  </si>
  <si>
    <t>Jarrod Bowen</t>
  </si>
  <si>
    <t>Kelechi Iheanacho</t>
  </si>
  <si>
    <t>Ollie Watkins</t>
  </si>
  <si>
    <t>Harvey Barnes</t>
  </si>
  <si>
    <t>James Tarkowski</t>
  </si>
  <si>
    <t>Seamus Coleman</t>
  </si>
  <si>
    <t>Bernd Leno</t>
  </si>
  <si>
    <t>Emerson Leite de Souza Junior</t>
  </si>
  <si>
    <t>Bruno Borges Fernandes</t>
  </si>
  <si>
    <t>Antonee Robinson</t>
  </si>
  <si>
    <t>Ben Davies</t>
  </si>
  <si>
    <t>Eric Dier</t>
  </si>
  <si>
    <t>Jack Grealish</t>
  </si>
  <si>
    <t>Declan Rice</t>
  </si>
  <si>
    <t>Manor Solomon</t>
  </si>
  <si>
    <t>Alexander Isak</t>
  </si>
  <si>
    <t>Jack Harrison</t>
  </si>
  <si>
    <t>Matty Cash</t>
  </si>
  <si>
    <t>Emiliano MartÃ­nez Romero</t>
  </si>
  <si>
    <t>Abdoulaye DoucourÃ©</t>
  </si>
  <si>
    <t>Benjamin White</t>
  </si>
  <si>
    <t>JuliÃ¡n Ãlvarez</t>
  </si>
  <si>
    <t>Michael Keane</t>
  </si>
  <si>
    <t>Harrison Reed</t>
  </si>
  <si>
    <t>Jordan Pickford</t>
  </si>
  <si>
    <t>Kurt Zouma</t>
  </si>
  <si>
    <t>Lisandro MartÃ­nez</t>
  </si>
  <si>
    <t>Eberechi Eze</t>
  </si>
  <si>
    <t>Marc GuÃ©hi</t>
  </si>
  <si>
    <t>Alexandre Moreno Lopera</t>
  </si>
  <si>
    <t>NÃ©lson Cabral Semedo</t>
  </si>
  <si>
    <t>Diogo Teixeira da Silva</t>
  </si>
  <si>
    <t>Craig Dawson</t>
  </si>
  <si>
    <t>Sam Johnstone</t>
  </si>
  <si>
    <t>Dwight McNeil</t>
  </si>
  <si>
    <t>Morgan Gibbs-White</t>
  </si>
  <si>
    <t>John Stones</t>
  </si>
  <si>
    <t>Diogo Dalot Teixeira</t>
  </si>
  <si>
    <t>Hugo Bueno LÃ³pez</t>
  </si>
  <si>
    <t>Josh Dasilva</t>
  </si>
  <si>
    <t>Mohamed Elneny</t>
  </si>
  <si>
    <t>Phil Jones</t>
  </si>
  <si>
    <t>Harry Arter</t>
  </si>
  <si>
    <t>Japhet Tanganga</t>
  </si>
  <si>
    <t>Josh Wilson-Esbrand</t>
  </si>
  <si>
    <t>Rico Lewis</t>
  </si>
  <si>
    <t>Stefan Ortega Moreno</t>
  </si>
  <si>
    <t>Taiwo Awoniyi</t>
  </si>
  <si>
    <t>Toti AntÃ³nio Gomes</t>
  </si>
  <si>
    <t>Pedro Porro</t>
  </si>
  <si>
    <t>Jakub Kiwior</t>
  </si>
  <si>
    <t>Kyle Walker</t>
  </si>
  <si>
    <t>Nathan Collins</t>
  </si>
  <si>
    <t>Max Kilman</t>
  </si>
  <si>
    <t>Anthony Gordon</t>
  </si>
  <si>
    <t>Thiago Emiliano da Silva</t>
  </si>
  <si>
    <t>Alex Iwobi</t>
  </si>
  <si>
    <t>Thomas Partey</t>
  </si>
  <si>
    <t>Daniel Amartey</t>
  </si>
  <si>
    <t>Douglas Luiz Soares de Paulo</t>
  </si>
  <si>
    <t>Issa Diop</t>
  </si>
  <si>
    <t>Rodrigo Hernandez</t>
  </si>
  <si>
    <t>Fraser Forster</t>
  </si>
  <si>
    <t>Manuel Akanji</t>
  </si>
  <si>
    <t>Lewis Dunk</t>
  </si>
  <si>
    <t>Michael Olise</t>
  </si>
  <si>
    <t>Dominic Solanke</t>
  </si>
  <si>
    <t>Danilo dos Santos de Oliveira</t>
  </si>
  <si>
    <t>Aaron Ramsdale</t>
  </si>
  <si>
    <t>Comparison</t>
  </si>
  <si>
    <t>Delta Points</t>
  </si>
  <si>
    <t>Delta xP</t>
  </si>
  <si>
    <t>id</t>
  </si>
  <si>
    <t>xP Model</t>
  </si>
  <si>
    <t>xPMin Model</t>
  </si>
  <si>
    <t>Total</t>
  </si>
  <si>
    <t>Error</t>
  </si>
  <si>
    <t>mae</t>
  </si>
  <si>
    <t>total_players</t>
  </si>
  <si>
    <t>MAE</t>
  </si>
  <si>
    <t>Dejan Kulusevski</t>
  </si>
  <si>
    <t>Aymeric Laporte</t>
  </si>
  <si>
    <t>Hugo Lloris</t>
  </si>
  <si>
    <t>Philippe Coutinho Correia</t>
  </si>
  <si>
    <t>Emmanuel Dennis</t>
  </si>
  <si>
    <t>Lukasz Fabianski</t>
  </si>
  <si>
    <t>Michail Antonio</t>
  </si>
  <si>
    <t>Cristiano Ronaldo dos Santos Aveiro</t>
  </si>
  <si>
    <t>Marcos Alonso</t>
  </si>
  <si>
    <t>Reece James</t>
  </si>
  <si>
    <t>Joachim Andersen</t>
  </si>
  <si>
    <t>Emile Smith Rowe</t>
  </si>
  <si>
    <t>Past_Best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</si>
</sst>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4" xfId="0" applyBorder="1"/>
    <xf numFmtId="0" fontId="1" fillId="0" borderId="7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</a:t>
            </a:r>
            <a:r>
              <a:rPr lang="en-IN" baseline="0"/>
              <a:t> Performances Season 2022-23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Comparison!$C$1</c:f>
              <c:strCache>
                <c:ptCount val="1"/>
                <c:pt idx="0">
                  <c:v>xP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Comparison!$B$3:$B$39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37</c:v>
                </c:pt>
                <c:pt idx="34">
                  <c:v>38</c:v>
                </c:pt>
              </c:numCache>
            </c:numRef>
          </c:cat>
          <c:val>
            <c:numRef>
              <c:f>Comparison!$D$3:$D$39</c:f>
              <c:numCache>
                <c:formatCode>0.0</c:formatCode>
                <c:ptCount val="35"/>
                <c:pt idx="0">
                  <c:v>54</c:v>
                </c:pt>
                <c:pt idx="1">
                  <c:v>125</c:v>
                </c:pt>
                <c:pt idx="2">
                  <c:v>99</c:v>
                </c:pt>
                <c:pt idx="3">
                  <c:v>133</c:v>
                </c:pt>
                <c:pt idx="4">
                  <c:v>85</c:v>
                </c:pt>
                <c:pt idx="5">
                  <c:v>84</c:v>
                </c:pt>
                <c:pt idx="6">
                  <c:v>81</c:v>
                </c:pt>
                <c:pt idx="7">
                  <c:v>160</c:v>
                </c:pt>
                <c:pt idx="8">
                  <c:v>83</c:v>
                </c:pt>
                <c:pt idx="9">
                  <c:v>62</c:v>
                </c:pt>
                <c:pt idx="10">
                  <c:v>79</c:v>
                </c:pt>
                <c:pt idx="11">
                  <c:v>82</c:v>
                </c:pt>
                <c:pt idx="12">
                  <c:v>108</c:v>
                </c:pt>
                <c:pt idx="13">
                  <c:v>122</c:v>
                </c:pt>
                <c:pt idx="14">
                  <c:v>148</c:v>
                </c:pt>
                <c:pt idx="15">
                  <c:v>98</c:v>
                </c:pt>
                <c:pt idx="16">
                  <c:v>98</c:v>
                </c:pt>
                <c:pt idx="17">
                  <c:v>116</c:v>
                </c:pt>
                <c:pt idx="18">
                  <c:v>84</c:v>
                </c:pt>
                <c:pt idx="19">
                  <c:v>78</c:v>
                </c:pt>
                <c:pt idx="20">
                  <c:v>87</c:v>
                </c:pt>
                <c:pt idx="21">
                  <c:v>117</c:v>
                </c:pt>
                <c:pt idx="22">
                  <c:v>72</c:v>
                </c:pt>
                <c:pt idx="23">
                  <c:v>84</c:v>
                </c:pt>
                <c:pt idx="24">
                  <c:v>57</c:v>
                </c:pt>
                <c:pt idx="25">
                  <c:v>110</c:v>
                </c:pt>
                <c:pt idx="26">
                  <c:v>84</c:v>
                </c:pt>
                <c:pt idx="27">
                  <c:v>96</c:v>
                </c:pt>
                <c:pt idx="28">
                  <c:v>107</c:v>
                </c:pt>
                <c:pt idx="29">
                  <c:v>72</c:v>
                </c:pt>
                <c:pt idx="30">
                  <c:v>115</c:v>
                </c:pt>
                <c:pt idx="31">
                  <c:v>79</c:v>
                </c:pt>
                <c:pt idx="32">
                  <c:v>77</c:v>
                </c:pt>
                <c:pt idx="33">
                  <c:v>41</c:v>
                </c:pt>
                <c:pt idx="3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E-46A1-A4BB-8CC03E58527D}"/>
            </c:ext>
          </c:extLst>
        </c:ser>
        <c:ser>
          <c:idx val="1"/>
          <c:order val="1"/>
          <c:tx>
            <c:strRef>
              <c:f>Comparison!$G$1</c:f>
              <c:strCache>
                <c:ptCount val="1"/>
                <c:pt idx="0">
                  <c:v>xPMin Model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Comparison!$B$3:$B$39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37</c:v>
                </c:pt>
                <c:pt idx="34">
                  <c:v>38</c:v>
                </c:pt>
              </c:numCache>
            </c:numRef>
          </c:cat>
          <c:val>
            <c:numRef>
              <c:f>Comparison!$H$3:$H$39</c:f>
              <c:numCache>
                <c:formatCode>0.0</c:formatCode>
                <c:ptCount val="35"/>
                <c:pt idx="0">
                  <c:v>54</c:v>
                </c:pt>
                <c:pt idx="1">
                  <c:v>125</c:v>
                </c:pt>
                <c:pt idx="2">
                  <c:v>99</c:v>
                </c:pt>
                <c:pt idx="3">
                  <c:v>133</c:v>
                </c:pt>
                <c:pt idx="4">
                  <c:v>92</c:v>
                </c:pt>
                <c:pt idx="5">
                  <c:v>108</c:v>
                </c:pt>
                <c:pt idx="6">
                  <c:v>74</c:v>
                </c:pt>
                <c:pt idx="7">
                  <c:v>173</c:v>
                </c:pt>
                <c:pt idx="8">
                  <c:v>92</c:v>
                </c:pt>
                <c:pt idx="9">
                  <c:v>69</c:v>
                </c:pt>
                <c:pt idx="10">
                  <c:v>89</c:v>
                </c:pt>
                <c:pt idx="11">
                  <c:v>69</c:v>
                </c:pt>
                <c:pt idx="12">
                  <c:v>100</c:v>
                </c:pt>
                <c:pt idx="13">
                  <c:v>121</c:v>
                </c:pt>
                <c:pt idx="14">
                  <c:v>136</c:v>
                </c:pt>
                <c:pt idx="15">
                  <c:v>98</c:v>
                </c:pt>
                <c:pt idx="16">
                  <c:v>82</c:v>
                </c:pt>
                <c:pt idx="17">
                  <c:v>116</c:v>
                </c:pt>
                <c:pt idx="18">
                  <c:v>77</c:v>
                </c:pt>
                <c:pt idx="19">
                  <c:v>73</c:v>
                </c:pt>
                <c:pt idx="20">
                  <c:v>62</c:v>
                </c:pt>
                <c:pt idx="21">
                  <c:v>103</c:v>
                </c:pt>
                <c:pt idx="22">
                  <c:v>71</c:v>
                </c:pt>
                <c:pt idx="23">
                  <c:v>91</c:v>
                </c:pt>
                <c:pt idx="24">
                  <c:v>76</c:v>
                </c:pt>
                <c:pt idx="25">
                  <c:v>110</c:v>
                </c:pt>
                <c:pt idx="26">
                  <c:v>53</c:v>
                </c:pt>
                <c:pt idx="27">
                  <c:v>101</c:v>
                </c:pt>
                <c:pt idx="28">
                  <c:v>83</c:v>
                </c:pt>
                <c:pt idx="29">
                  <c:v>69</c:v>
                </c:pt>
                <c:pt idx="30">
                  <c:v>100</c:v>
                </c:pt>
                <c:pt idx="31">
                  <c:v>62</c:v>
                </c:pt>
                <c:pt idx="32">
                  <c:v>97</c:v>
                </c:pt>
                <c:pt idx="33">
                  <c:v>38</c:v>
                </c:pt>
                <c:pt idx="3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DE-46A1-A4BB-8CC03E58527D}"/>
            </c:ext>
          </c:extLst>
        </c:ser>
        <c:ser>
          <c:idx val="2"/>
          <c:order val="2"/>
          <c:tx>
            <c:strRef>
              <c:f>Comparison!$K$1</c:f>
              <c:strCache>
                <c:ptCount val="1"/>
                <c:pt idx="0">
                  <c:v>Past_Best Model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Comparison!$B$3:$B$39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37</c:v>
                </c:pt>
                <c:pt idx="34">
                  <c:v>38</c:v>
                </c:pt>
              </c:numCache>
            </c:numRef>
          </c:cat>
          <c:val>
            <c:numRef>
              <c:f>Comparison!$L$3:$L$39</c:f>
              <c:numCache>
                <c:formatCode>General</c:formatCode>
                <c:ptCount val="35"/>
                <c:pt idx="0">
                  <c:v>49</c:v>
                </c:pt>
                <c:pt idx="1">
                  <c:v>34</c:v>
                </c:pt>
                <c:pt idx="2">
                  <c:v>35</c:v>
                </c:pt>
                <c:pt idx="3">
                  <c:v>80</c:v>
                </c:pt>
                <c:pt idx="4">
                  <c:v>41</c:v>
                </c:pt>
                <c:pt idx="5">
                  <c:v>39</c:v>
                </c:pt>
                <c:pt idx="6">
                  <c:v>52</c:v>
                </c:pt>
                <c:pt idx="7">
                  <c:v>48</c:v>
                </c:pt>
                <c:pt idx="8">
                  <c:v>67</c:v>
                </c:pt>
                <c:pt idx="9">
                  <c:v>46</c:v>
                </c:pt>
                <c:pt idx="10">
                  <c:v>30</c:v>
                </c:pt>
                <c:pt idx="11">
                  <c:v>42</c:v>
                </c:pt>
                <c:pt idx="12">
                  <c:v>32</c:v>
                </c:pt>
                <c:pt idx="13">
                  <c:v>44</c:v>
                </c:pt>
                <c:pt idx="14">
                  <c:v>51</c:v>
                </c:pt>
                <c:pt idx="15">
                  <c:v>35</c:v>
                </c:pt>
                <c:pt idx="16">
                  <c:v>52</c:v>
                </c:pt>
                <c:pt idx="17">
                  <c:v>30</c:v>
                </c:pt>
                <c:pt idx="18">
                  <c:v>65</c:v>
                </c:pt>
                <c:pt idx="19">
                  <c:v>38</c:v>
                </c:pt>
                <c:pt idx="20">
                  <c:v>48</c:v>
                </c:pt>
                <c:pt idx="21">
                  <c:v>71</c:v>
                </c:pt>
                <c:pt idx="22">
                  <c:v>26</c:v>
                </c:pt>
                <c:pt idx="23">
                  <c:v>66</c:v>
                </c:pt>
                <c:pt idx="24">
                  <c:v>15</c:v>
                </c:pt>
                <c:pt idx="25">
                  <c:v>44</c:v>
                </c:pt>
                <c:pt idx="26">
                  <c:v>41</c:v>
                </c:pt>
                <c:pt idx="27">
                  <c:v>32</c:v>
                </c:pt>
                <c:pt idx="28">
                  <c:v>36</c:v>
                </c:pt>
                <c:pt idx="29">
                  <c:v>38</c:v>
                </c:pt>
                <c:pt idx="30">
                  <c:v>35</c:v>
                </c:pt>
                <c:pt idx="31">
                  <c:v>18</c:v>
                </c:pt>
                <c:pt idx="32">
                  <c:v>55</c:v>
                </c:pt>
                <c:pt idx="33">
                  <c:v>40</c:v>
                </c:pt>
                <c:pt idx="3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E-46A1-A4BB-8CC03E585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825344"/>
        <c:axId val="947274384"/>
      </c:lineChart>
      <c:catAx>
        <c:axId val="202582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74384"/>
        <c:crosses val="autoZero"/>
        <c:auto val="1"/>
        <c:lblAlgn val="ctr"/>
        <c:lblOffset val="100"/>
        <c:noMultiLvlLbl val="0"/>
      </c:catAx>
      <c:valAx>
        <c:axId val="9472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82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540541</xdr:colOff>
      <xdr:row>1</xdr:row>
      <xdr:rowOff>176211</xdr:rowOff>
    </xdr:from>
    <xdr:to>
      <xdr:col>27</xdr:col>
      <xdr:colOff>319086</xdr:colOff>
      <xdr:row>22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79C8B-6B42-7011-99AC-7DC1A1703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9D47-0342-439C-8DE9-E503EE6A54A5}">
  <dimension ref="A1:Q38"/>
  <sheetViews>
    <sheetView workbookViewId="0">
      <selection activeCell="P1" sqref="P1"/>
    </sheetView>
  </sheetViews>
  <sheetFormatPr defaultRowHeight="14.25" x14ac:dyDescent="0.45"/>
  <sheetData>
    <row r="1" spans="1:1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182</v>
      </c>
      <c r="Q1" t="s">
        <v>183</v>
      </c>
    </row>
    <row r="2" spans="1:17" x14ac:dyDescent="0.45">
      <c r="A2">
        <v>1</v>
      </c>
      <c r="B2">
        <v>1</v>
      </c>
      <c r="C2">
        <v>50.4</v>
      </c>
      <c r="D2">
        <v>54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>
        <v>1.4486910994764399</v>
      </c>
      <c r="Q2">
        <v>573</v>
      </c>
    </row>
    <row r="3" spans="1:17" x14ac:dyDescent="0.45">
      <c r="A3">
        <v>2</v>
      </c>
      <c r="B3">
        <v>2</v>
      </c>
      <c r="C3">
        <v>117</v>
      </c>
      <c r="D3">
        <v>125</v>
      </c>
      <c r="E3" t="s">
        <v>25</v>
      </c>
      <c r="F3" t="s">
        <v>26</v>
      </c>
      <c r="G3" t="s">
        <v>27</v>
      </c>
      <c r="H3" t="s">
        <v>16</v>
      </c>
      <c r="I3" t="s">
        <v>19</v>
      </c>
      <c r="J3" t="s">
        <v>28</v>
      </c>
      <c r="K3" t="s">
        <v>29</v>
      </c>
      <c r="L3" t="s">
        <v>30</v>
      </c>
      <c r="M3" t="s">
        <v>22</v>
      </c>
      <c r="N3" t="s">
        <v>31</v>
      </c>
      <c r="O3" t="s">
        <v>32</v>
      </c>
      <c r="P3">
        <v>0.93253012048192796</v>
      </c>
      <c r="Q3">
        <v>581</v>
      </c>
    </row>
    <row r="4" spans="1:17" x14ac:dyDescent="0.45">
      <c r="A4">
        <v>3</v>
      </c>
      <c r="B4">
        <v>3</v>
      </c>
      <c r="C4">
        <v>101.8</v>
      </c>
      <c r="D4">
        <v>99</v>
      </c>
      <c r="E4" t="s">
        <v>27</v>
      </c>
      <c r="F4" t="s">
        <v>25</v>
      </c>
      <c r="G4" t="s">
        <v>26</v>
      </c>
      <c r="H4" t="s">
        <v>16</v>
      </c>
      <c r="I4" t="s">
        <v>31</v>
      </c>
      <c r="J4" t="s">
        <v>33</v>
      </c>
      <c r="K4" t="s">
        <v>34</v>
      </c>
      <c r="L4" t="s">
        <v>30</v>
      </c>
      <c r="M4" t="s">
        <v>35</v>
      </c>
      <c r="N4" t="s">
        <v>36</v>
      </c>
      <c r="O4" t="s">
        <v>37</v>
      </c>
      <c r="P4">
        <v>1.0194256756756801</v>
      </c>
      <c r="Q4">
        <v>592</v>
      </c>
    </row>
    <row r="5" spans="1:17" x14ac:dyDescent="0.45">
      <c r="A5">
        <v>4</v>
      </c>
      <c r="B5">
        <v>4</v>
      </c>
      <c r="C5">
        <v>101.5</v>
      </c>
      <c r="D5">
        <v>133</v>
      </c>
      <c r="E5" t="s">
        <v>16</v>
      </c>
      <c r="F5" t="s">
        <v>30</v>
      </c>
      <c r="G5" t="s">
        <v>38</v>
      </c>
      <c r="H5" t="s">
        <v>27</v>
      </c>
      <c r="I5" t="s">
        <v>39</v>
      </c>
      <c r="J5" t="s">
        <v>33</v>
      </c>
      <c r="K5" t="s">
        <v>40</v>
      </c>
      <c r="L5" t="s">
        <v>41</v>
      </c>
      <c r="M5" t="s">
        <v>42</v>
      </c>
      <c r="N5" t="s">
        <v>43</v>
      </c>
      <c r="O5" t="s">
        <v>37</v>
      </c>
      <c r="P5">
        <v>1.0387687188020001</v>
      </c>
      <c r="Q5">
        <v>601</v>
      </c>
    </row>
    <row r="6" spans="1:17" x14ac:dyDescent="0.45">
      <c r="A6">
        <v>5</v>
      </c>
      <c r="B6">
        <v>5</v>
      </c>
      <c r="C6">
        <v>96.6</v>
      </c>
      <c r="D6">
        <v>85</v>
      </c>
      <c r="E6" t="s">
        <v>16</v>
      </c>
      <c r="F6" t="s">
        <v>30</v>
      </c>
      <c r="G6" t="s">
        <v>40</v>
      </c>
      <c r="H6" t="s">
        <v>19</v>
      </c>
      <c r="I6" t="s">
        <v>44</v>
      </c>
      <c r="J6" t="s">
        <v>22</v>
      </c>
      <c r="K6" t="s">
        <v>27</v>
      </c>
      <c r="L6" t="s">
        <v>39</v>
      </c>
      <c r="M6" t="s">
        <v>33</v>
      </c>
      <c r="N6" t="s">
        <v>29</v>
      </c>
      <c r="O6" t="s">
        <v>43</v>
      </c>
      <c r="P6">
        <v>1.0182565789473701</v>
      </c>
      <c r="Q6">
        <v>608</v>
      </c>
    </row>
    <row r="7" spans="1:17" x14ac:dyDescent="0.45">
      <c r="A7">
        <v>6</v>
      </c>
      <c r="B7">
        <v>6</v>
      </c>
      <c r="C7">
        <v>93.3</v>
      </c>
      <c r="D7">
        <v>84</v>
      </c>
      <c r="E7" t="s">
        <v>16</v>
      </c>
      <c r="F7" t="s">
        <v>31</v>
      </c>
      <c r="G7" t="s">
        <v>40</v>
      </c>
      <c r="H7" t="s">
        <v>45</v>
      </c>
      <c r="I7" t="s">
        <v>46</v>
      </c>
      <c r="J7" t="s">
        <v>44</v>
      </c>
      <c r="K7" t="s">
        <v>39</v>
      </c>
      <c r="L7" t="s">
        <v>29</v>
      </c>
      <c r="M7" t="s">
        <v>19</v>
      </c>
      <c r="N7" t="s">
        <v>37</v>
      </c>
      <c r="O7" t="s">
        <v>14</v>
      </c>
      <c r="P7">
        <v>1.06987179487179</v>
      </c>
      <c r="Q7">
        <v>624</v>
      </c>
    </row>
    <row r="8" spans="1:17" x14ac:dyDescent="0.45">
      <c r="A8">
        <v>7</v>
      </c>
      <c r="B8">
        <v>8</v>
      </c>
      <c r="C8">
        <v>89.8</v>
      </c>
      <c r="D8">
        <v>81</v>
      </c>
      <c r="E8" t="s">
        <v>16</v>
      </c>
      <c r="F8" t="s">
        <v>41</v>
      </c>
      <c r="G8" t="s">
        <v>19</v>
      </c>
      <c r="H8" t="s">
        <v>44</v>
      </c>
      <c r="I8" t="s">
        <v>47</v>
      </c>
      <c r="J8" t="s">
        <v>48</v>
      </c>
      <c r="K8" t="s">
        <v>33</v>
      </c>
      <c r="L8" t="s">
        <v>49</v>
      </c>
      <c r="M8" t="s">
        <v>50</v>
      </c>
      <c r="N8" t="s">
        <v>51</v>
      </c>
      <c r="O8" t="s">
        <v>43</v>
      </c>
      <c r="P8">
        <v>0.94636363636363596</v>
      </c>
      <c r="Q8">
        <v>440</v>
      </c>
    </row>
    <row r="9" spans="1:17" x14ac:dyDescent="0.45">
      <c r="A9">
        <v>8</v>
      </c>
      <c r="B9">
        <v>9</v>
      </c>
      <c r="C9">
        <v>135</v>
      </c>
      <c r="D9">
        <v>160</v>
      </c>
      <c r="E9" t="s">
        <v>16</v>
      </c>
      <c r="F9" t="s">
        <v>52</v>
      </c>
      <c r="G9" t="s">
        <v>53</v>
      </c>
      <c r="H9" t="s">
        <v>40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51</v>
      </c>
      <c r="O9" t="s">
        <v>59</v>
      </c>
      <c r="P9">
        <v>0.73761755485893399</v>
      </c>
      <c r="Q9">
        <v>638</v>
      </c>
    </row>
    <row r="10" spans="1:17" x14ac:dyDescent="0.45">
      <c r="A10">
        <v>9</v>
      </c>
      <c r="B10">
        <v>10</v>
      </c>
      <c r="C10">
        <v>118.3</v>
      </c>
      <c r="D10">
        <v>83</v>
      </c>
      <c r="E10" t="s">
        <v>53</v>
      </c>
      <c r="F10" t="s">
        <v>16</v>
      </c>
      <c r="G10" t="s">
        <v>52</v>
      </c>
      <c r="H10" t="s">
        <v>19</v>
      </c>
      <c r="I10" t="s">
        <v>55</v>
      </c>
      <c r="J10" t="s">
        <v>40</v>
      </c>
      <c r="K10" t="s">
        <v>57</v>
      </c>
      <c r="L10" t="s">
        <v>59</v>
      </c>
      <c r="M10" t="s">
        <v>60</v>
      </c>
      <c r="N10" t="s">
        <v>54</v>
      </c>
      <c r="O10" t="s">
        <v>58</v>
      </c>
      <c r="P10">
        <v>0.84087363494539802</v>
      </c>
      <c r="Q10">
        <v>641</v>
      </c>
    </row>
    <row r="11" spans="1:17" x14ac:dyDescent="0.45">
      <c r="A11">
        <v>10</v>
      </c>
      <c r="B11">
        <v>11</v>
      </c>
      <c r="C11">
        <v>97.8</v>
      </c>
      <c r="D11">
        <v>62</v>
      </c>
      <c r="E11" t="s">
        <v>53</v>
      </c>
      <c r="F11" t="s">
        <v>61</v>
      </c>
      <c r="G11" t="s">
        <v>47</v>
      </c>
      <c r="H11" t="s">
        <v>16</v>
      </c>
      <c r="I11" t="s">
        <v>41</v>
      </c>
      <c r="J11" t="s">
        <v>52</v>
      </c>
      <c r="K11" t="s">
        <v>19</v>
      </c>
      <c r="L11" t="s">
        <v>60</v>
      </c>
      <c r="M11" t="s">
        <v>62</v>
      </c>
      <c r="N11" t="s">
        <v>59</v>
      </c>
      <c r="O11" t="s">
        <v>33</v>
      </c>
      <c r="P11">
        <v>0.91181959564541204</v>
      </c>
      <c r="Q11">
        <v>643</v>
      </c>
    </row>
    <row r="12" spans="1:17" x14ac:dyDescent="0.45">
      <c r="A12">
        <v>11</v>
      </c>
      <c r="B12">
        <v>12</v>
      </c>
      <c r="C12">
        <v>0</v>
      </c>
      <c r="D12">
        <v>3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  <c r="P12">
        <v>1.39316239316239</v>
      </c>
      <c r="Q12">
        <v>585</v>
      </c>
    </row>
    <row r="13" spans="1:17" x14ac:dyDescent="0.45">
      <c r="A13">
        <v>12</v>
      </c>
      <c r="B13">
        <v>13</v>
      </c>
      <c r="C13">
        <v>97.7</v>
      </c>
      <c r="D13">
        <v>79</v>
      </c>
      <c r="E13" t="s">
        <v>16</v>
      </c>
      <c r="F13" t="s">
        <v>53</v>
      </c>
      <c r="G13" t="s">
        <v>74</v>
      </c>
      <c r="H13" t="s">
        <v>60</v>
      </c>
      <c r="I13" t="s">
        <v>75</v>
      </c>
      <c r="J13" t="s">
        <v>61</v>
      </c>
      <c r="K13" t="s">
        <v>41</v>
      </c>
      <c r="L13" t="s">
        <v>19</v>
      </c>
      <c r="M13" t="s">
        <v>76</v>
      </c>
      <c r="N13" t="s">
        <v>40</v>
      </c>
      <c r="O13" t="s">
        <v>32</v>
      </c>
      <c r="P13">
        <v>1.06743827160494</v>
      </c>
      <c r="Q13">
        <v>648</v>
      </c>
    </row>
    <row r="14" spans="1:17" x14ac:dyDescent="0.45">
      <c r="A14">
        <v>13</v>
      </c>
      <c r="B14">
        <v>14</v>
      </c>
      <c r="C14">
        <v>87.2</v>
      </c>
      <c r="D14">
        <v>82</v>
      </c>
      <c r="E14" t="s">
        <v>60</v>
      </c>
      <c r="F14" t="s">
        <v>53</v>
      </c>
      <c r="G14" t="s">
        <v>74</v>
      </c>
      <c r="H14" t="s">
        <v>16</v>
      </c>
      <c r="I14" t="s">
        <v>32</v>
      </c>
      <c r="J14" t="s">
        <v>19</v>
      </c>
      <c r="K14" t="s">
        <v>22</v>
      </c>
      <c r="L14" t="s">
        <v>77</v>
      </c>
      <c r="M14" t="s">
        <v>61</v>
      </c>
      <c r="N14" t="s">
        <v>52</v>
      </c>
      <c r="O14" t="s">
        <v>75</v>
      </c>
      <c r="P14">
        <v>1.05579268292683</v>
      </c>
      <c r="Q14">
        <v>656</v>
      </c>
    </row>
    <row r="15" spans="1:17" x14ac:dyDescent="0.45">
      <c r="A15">
        <v>14</v>
      </c>
      <c r="B15">
        <v>15</v>
      </c>
      <c r="C15">
        <v>86.4</v>
      </c>
      <c r="D15">
        <v>108</v>
      </c>
      <c r="E15" t="s">
        <v>60</v>
      </c>
      <c r="F15" t="s">
        <v>25</v>
      </c>
      <c r="G15" t="s">
        <v>74</v>
      </c>
      <c r="H15" t="s">
        <v>32</v>
      </c>
      <c r="I15" t="s">
        <v>43</v>
      </c>
      <c r="J15" t="s">
        <v>78</v>
      </c>
      <c r="K15" t="s">
        <v>75</v>
      </c>
      <c r="L15" t="s">
        <v>79</v>
      </c>
      <c r="M15" t="s">
        <v>80</v>
      </c>
      <c r="N15" t="s">
        <v>81</v>
      </c>
      <c r="O15" t="s">
        <v>41</v>
      </c>
      <c r="P15">
        <v>0.91346444780635405</v>
      </c>
      <c r="Q15">
        <v>661</v>
      </c>
    </row>
    <row r="16" spans="1:17" x14ac:dyDescent="0.45">
      <c r="A16">
        <v>15</v>
      </c>
      <c r="B16">
        <v>16</v>
      </c>
      <c r="C16">
        <v>103.5</v>
      </c>
      <c r="D16">
        <v>122</v>
      </c>
      <c r="E16" t="s">
        <v>38</v>
      </c>
      <c r="F16" t="s">
        <v>32</v>
      </c>
      <c r="G16" t="s">
        <v>43</v>
      </c>
      <c r="H16" t="s">
        <v>78</v>
      </c>
      <c r="I16" t="s">
        <v>82</v>
      </c>
      <c r="J16" t="s">
        <v>83</v>
      </c>
      <c r="K16" t="s">
        <v>79</v>
      </c>
      <c r="L16" t="s">
        <v>84</v>
      </c>
      <c r="M16" t="s">
        <v>33</v>
      </c>
      <c r="N16" t="s">
        <v>41</v>
      </c>
      <c r="O16" t="s">
        <v>85</v>
      </c>
      <c r="P16">
        <v>0.92833583208395798</v>
      </c>
      <c r="Q16">
        <v>667</v>
      </c>
    </row>
    <row r="17" spans="1:17" x14ac:dyDescent="0.45">
      <c r="A17">
        <v>16</v>
      </c>
      <c r="B17">
        <v>17</v>
      </c>
      <c r="C17">
        <v>152</v>
      </c>
      <c r="D17">
        <v>148</v>
      </c>
      <c r="E17" t="s">
        <v>46</v>
      </c>
      <c r="F17" t="s">
        <v>16</v>
      </c>
      <c r="G17" t="s">
        <v>86</v>
      </c>
      <c r="H17" t="s">
        <v>87</v>
      </c>
      <c r="I17" t="s">
        <v>78</v>
      </c>
      <c r="J17" t="s">
        <v>88</v>
      </c>
      <c r="K17" t="s">
        <v>21</v>
      </c>
      <c r="L17" t="s">
        <v>32</v>
      </c>
      <c r="M17" t="s">
        <v>38</v>
      </c>
      <c r="N17" t="s">
        <v>89</v>
      </c>
      <c r="O17" t="s">
        <v>42</v>
      </c>
      <c r="P17">
        <v>0.31540740740740703</v>
      </c>
      <c r="Q17">
        <v>675</v>
      </c>
    </row>
    <row r="18" spans="1:17" x14ac:dyDescent="0.45">
      <c r="A18">
        <v>17</v>
      </c>
      <c r="B18">
        <v>18</v>
      </c>
      <c r="C18">
        <v>113</v>
      </c>
      <c r="D18">
        <v>98</v>
      </c>
      <c r="E18" t="s">
        <v>38</v>
      </c>
      <c r="F18" t="s">
        <v>16</v>
      </c>
      <c r="G18" t="s">
        <v>32</v>
      </c>
      <c r="H18" t="s">
        <v>46</v>
      </c>
      <c r="I18" t="s">
        <v>22</v>
      </c>
      <c r="J18" t="s">
        <v>31</v>
      </c>
      <c r="K18" t="s">
        <v>90</v>
      </c>
      <c r="L18" t="s">
        <v>91</v>
      </c>
      <c r="M18" t="s">
        <v>86</v>
      </c>
      <c r="N18" t="s">
        <v>92</v>
      </c>
      <c r="O18" t="s">
        <v>62</v>
      </c>
      <c r="P18">
        <v>0.74941002949852498</v>
      </c>
      <c r="Q18">
        <v>678</v>
      </c>
    </row>
    <row r="19" spans="1:17" x14ac:dyDescent="0.45">
      <c r="A19">
        <v>18</v>
      </c>
      <c r="B19">
        <v>19</v>
      </c>
      <c r="C19">
        <v>100.7</v>
      </c>
      <c r="D19">
        <v>98</v>
      </c>
      <c r="E19" t="s">
        <v>90</v>
      </c>
      <c r="F19" t="s">
        <v>38</v>
      </c>
      <c r="G19" t="s">
        <v>46</v>
      </c>
      <c r="H19" t="s">
        <v>32</v>
      </c>
      <c r="I19" t="s">
        <v>41</v>
      </c>
      <c r="J19" t="s">
        <v>87</v>
      </c>
      <c r="K19" t="s">
        <v>16</v>
      </c>
      <c r="L19" t="s">
        <v>22</v>
      </c>
      <c r="M19" t="s">
        <v>92</v>
      </c>
      <c r="N19" t="s">
        <v>93</v>
      </c>
      <c r="O19" t="s">
        <v>14</v>
      </c>
      <c r="P19">
        <v>0.815008156606852</v>
      </c>
      <c r="Q19">
        <v>613</v>
      </c>
    </row>
    <row r="20" spans="1:17" x14ac:dyDescent="0.45">
      <c r="A20">
        <v>19</v>
      </c>
      <c r="B20">
        <v>20</v>
      </c>
      <c r="C20">
        <v>89.2</v>
      </c>
      <c r="D20">
        <v>116</v>
      </c>
      <c r="E20" t="s">
        <v>87</v>
      </c>
      <c r="F20" t="s">
        <v>32</v>
      </c>
      <c r="G20" t="s">
        <v>38</v>
      </c>
      <c r="H20" t="s">
        <v>94</v>
      </c>
      <c r="I20" t="s">
        <v>95</v>
      </c>
      <c r="J20" t="s">
        <v>50</v>
      </c>
      <c r="K20" t="s">
        <v>31</v>
      </c>
      <c r="L20" t="s">
        <v>96</v>
      </c>
      <c r="M20" t="s">
        <v>97</v>
      </c>
      <c r="N20" t="s">
        <v>22</v>
      </c>
      <c r="O20" t="s">
        <v>86</v>
      </c>
      <c r="P20">
        <v>0.77393617021276595</v>
      </c>
      <c r="Q20">
        <v>564</v>
      </c>
    </row>
    <row r="21" spans="1:17" x14ac:dyDescent="0.45">
      <c r="A21">
        <v>20</v>
      </c>
      <c r="B21">
        <v>21</v>
      </c>
      <c r="C21">
        <v>92.8</v>
      </c>
      <c r="D21">
        <v>84</v>
      </c>
      <c r="E21" t="s">
        <v>87</v>
      </c>
      <c r="F21" t="s">
        <v>32</v>
      </c>
      <c r="G21" t="s">
        <v>16</v>
      </c>
      <c r="H21" t="s">
        <v>92</v>
      </c>
      <c r="I21" t="s">
        <v>38</v>
      </c>
      <c r="J21" t="s">
        <v>46</v>
      </c>
      <c r="K21" t="s">
        <v>47</v>
      </c>
      <c r="L21" t="s">
        <v>41</v>
      </c>
      <c r="M21" t="s">
        <v>95</v>
      </c>
      <c r="N21" t="s">
        <v>98</v>
      </c>
      <c r="O21" t="s">
        <v>99</v>
      </c>
      <c r="P21">
        <v>0.87355021216407402</v>
      </c>
      <c r="Q21">
        <v>707</v>
      </c>
    </row>
    <row r="22" spans="1:17" x14ac:dyDescent="0.45">
      <c r="A22">
        <v>21</v>
      </c>
      <c r="B22">
        <v>22</v>
      </c>
      <c r="C22">
        <v>92.2</v>
      </c>
      <c r="D22">
        <v>78</v>
      </c>
      <c r="E22" t="s">
        <v>100</v>
      </c>
      <c r="F22" t="s">
        <v>101</v>
      </c>
      <c r="G22" t="s">
        <v>102</v>
      </c>
      <c r="H22" t="s">
        <v>87</v>
      </c>
      <c r="I22" t="s">
        <v>62</v>
      </c>
      <c r="J22" t="s">
        <v>16</v>
      </c>
      <c r="K22" t="s">
        <v>103</v>
      </c>
      <c r="L22" t="s">
        <v>104</v>
      </c>
      <c r="M22" t="s">
        <v>92</v>
      </c>
      <c r="N22" t="s">
        <v>105</v>
      </c>
      <c r="O22" t="s">
        <v>32</v>
      </c>
      <c r="P22">
        <v>0.87864661654135301</v>
      </c>
      <c r="Q22">
        <v>665</v>
      </c>
    </row>
    <row r="23" spans="1:17" x14ac:dyDescent="0.45">
      <c r="A23">
        <v>22</v>
      </c>
      <c r="B23">
        <v>23</v>
      </c>
      <c r="C23">
        <v>89.1</v>
      </c>
      <c r="D23">
        <v>87</v>
      </c>
      <c r="E23" t="s">
        <v>106</v>
      </c>
      <c r="F23" t="s">
        <v>105</v>
      </c>
      <c r="G23" t="s">
        <v>107</v>
      </c>
      <c r="H23" t="s">
        <v>100</v>
      </c>
      <c r="I23" t="s">
        <v>46</v>
      </c>
      <c r="J23" t="s">
        <v>103</v>
      </c>
      <c r="K23" t="s">
        <v>98</v>
      </c>
      <c r="L23" t="s">
        <v>108</v>
      </c>
      <c r="M23" t="s">
        <v>101</v>
      </c>
      <c r="N23" t="s">
        <v>86</v>
      </c>
      <c r="O23" t="s">
        <v>57</v>
      </c>
      <c r="P23">
        <v>0.73102941176470604</v>
      </c>
      <c r="Q23">
        <v>680</v>
      </c>
    </row>
    <row r="24" spans="1:17" x14ac:dyDescent="0.45">
      <c r="A24">
        <v>23</v>
      </c>
      <c r="B24">
        <v>24</v>
      </c>
      <c r="C24">
        <v>98.7</v>
      </c>
      <c r="D24">
        <v>117</v>
      </c>
      <c r="E24" t="s">
        <v>46</v>
      </c>
      <c r="F24" t="s">
        <v>106</v>
      </c>
      <c r="G24" t="s">
        <v>107</v>
      </c>
      <c r="H24" t="s">
        <v>109</v>
      </c>
      <c r="I24" t="s">
        <v>110</v>
      </c>
      <c r="J24" t="s">
        <v>111</v>
      </c>
      <c r="K24" t="s">
        <v>86</v>
      </c>
      <c r="L24" t="s">
        <v>112</v>
      </c>
      <c r="M24" t="s">
        <v>103</v>
      </c>
      <c r="N24" t="s">
        <v>113</v>
      </c>
      <c r="O24" t="s">
        <v>57</v>
      </c>
      <c r="P24">
        <v>0.71313672922252003</v>
      </c>
      <c r="Q24">
        <v>746</v>
      </c>
    </row>
    <row r="25" spans="1:17" x14ac:dyDescent="0.45">
      <c r="A25">
        <v>24</v>
      </c>
      <c r="B25">
        <v>25</v>
      </c>
      <c r="C25">
        <v>79</v>
      </c>
      <c r="D25">
        <v>72</v>
      </c>
      <c r="E25" t="s">
        <v>107</v>
      </c>
      <c r="F25" t="s">
        <v>106</v>
      </c>
      <c r="G25" t="s">
        <v>112</v>
      </c>
      <c r="H25" t="s">
        <v>114</v>
      </c>
      <c r="I25" t="s">
        <v>16</v>
      </c>
      <c r="J25" t="s">
        <v>111</v>
      </c>
      <c r="K25" t="s">
        <v>86</v>
      </c>
      <c r="L25" t="s">
        <v>115</v>
      </c>
      <c r="M25" t="s">
        <v>116</v>
      </c>
      <c r="N25" t="s">
        <v>117</v>
      </c>
      <c r="O25" t="s">
        <v>118</v>
      </c>
      <c r="P25">
        <v>0.93859649122806998</v>
      </c>
      <c r="Q25">
        <v>456</v>
      </c>
    </row>
    <row r="26" spans="1:17" x14ac:dyDescent="0.45">
      <c r="A26">
        <v>25</v>
      </c>
      <c r="B26">
        <v>26</v>
      </c>
      <c r="C26">
        <v>89.7</v>
      </c>
      <c r="D26">
        <v>84</v>
      </c>
      <c r="E26" t="s">
        <v>78</v>
      </c>
      <c r="F26" t="s">
        <v>14</v>
      </c>
      <c r="G26" t="s">
        <v>46</v>
      </c>
      <c r="H26" t="s">
        <v>18</v>
      </c>
      <c r="I26" t="s">
        <v>22</v>
      </c>
      <c r="J26" t="s">
        <v>47</v>
      </c>
      <c r="K26" t="s">
        <v>103</v>
      </c>
      <c r="L26" t="s">
        <v>119</v>
      </c>
      <c r="M26" t="s">
        <v>31</v>
      </c>
      <c r="N26" t="s">
        <v>112</v>
      </c>
      <c r="O26" t="s">
        <v>111</v>
      </c>
      <c r="P26">
        <v>0.92182061579651897</v>
      </c>
      <c r="Q26">
        <v>747</v>
      </c>
    </row>
    <row r="27" spans="1:17" x14ac:dyDescent="0.45">
      <c r="A27">
        <v>26</v>
      </c>
      <c r="B27">
        <v>27</v>
      </c>
      <c r="C27">
        <v>83.6</v>
      </c>
      <c r="D27">
        <v>57</v>
      </c>
      <c r="E27" t="s">
        <v>18</v>
      </c>
      <c r="F27" t="s">
        <v>22</v>
      </c>
      <c r="G27" t="s">
        <v>14</v>
      </c>
      <c r="H27" t="s">
        <v>46</v>
      </c>
      <c r="I27" t="s">
        <v>74</v>
      </c>
      <c r="J27" t="s">
        <v>16</v>
      </c>
      <c r="K27" t="s">
        <v>53</v>
      </c>
      <c r="L27" t="s">
        <v>113</v>
      </c>
      <c r="M27" t="s">
        <v>35</v>
      </c>
      <c r="N27" t="s">
        <v>107</v>
      </c>
      <c r="O27" t="s">
        <v>43</v>
      </c>
      <c r="P27">
        <v>0.93953488372092997</v>
      </c>
      <c r="Q27">
        <v>602</v>
      </c>
    </row>
    <row r="28" spans="1:17" x14ac:dyDescent="0.45">
      <c r="A28">
        <v>27</v>
      </c>
      <c r="B28">
        <v>28</v>
      </c>
      <c r="C28">
        <v>88.9</v>
      </c>
      <c r="D28">
        <v>110</v>
      </c>
      <c r="E28" t="s">
        <v>22</v>
      </c>
      <c r="F28" t="s">
        <v>47</v>
      </c>
      <c r="G28" t="s">
        <v>58</v>
      </c>
      <c r="H28" t="s">
        <v>120</v>
      </c>
      <c r="I28" t="s">
        <v>41</v>
      </c>
      <c r="J28" t="s">
        <v>121</v>
      </c>
      <c r="K28" t="s">
        <v>122</v>
      </c>
      <c r="L28" t="s">
        <v>123</v>
      </c>
      <c r="M28" t="s">
        <v>43</v>
      </c>
      <c r="N28" t="s">
        <v>104</v>
      </c>
      <c r="O28" t="s">
        <v>124</v>
      </c>
      <c r="P28">
        <v>0.76957328385899804</v>
      </c>
      <c r="Q28">
        <v>539</v>
      </c>
    </row>
    <row r="29" spans="1:17" x14ac:dyDescent="0.45">
      <c r="A29">
        <v>28</v>
      </c>
      <c r="B29">
        <v>29</v>
      </c>
      <c r="C29">
        <v>81.5</v>
      </c>
      <c r="D29">
        <v>84</v>
      </c>
      <c r="E29" t="s">
        <v>52</v>
      </c>
      <c r="F29" t="s">
        <v>41</v>
      </c>
      <c r="G29" t="s">
        <v>117</v>
      </c>
      <c r="H29" t="s">
        <v>25</v>
      </c>
      <c r="I29" t="s">
        <v>125</v>
      </c>
      <c r="J29" t="s">
        <v>43</v>
      </c>
      <c r="K29" t="s">
        <v>126</v>
      </c>
      <c r="L29" t="s">
        <v>55</v>
      </c>
      <c r="M29" t="s">
        <v>127</v>
      </c>
      <c r="N29" t="s">
        <v>128</v>
      </c>
      <c r="O29" t="s">
        <v>129</v>
      </c>
      <c r="P29">
        <v>0.71050847457627098</v>
      </c>
      <c r="Q29">
        <v>295</v>
      </c>
    </row>
    <row r="30" spans="1:17" x14ac:dyDescent="0.45">
      <c r="A30">
        <v>29</v>
      </c>
      <c r="B30">
        <v>30</v>
      </c>
      <c r="C30">
        <v>104.5</v>
      </c>
      <c r="D30">
        <v>96</v>
      </c>
      <c r="E30" t="s">
        <v>117</v>
      </c>
      <c r="F30" t="s">
        <v>25</v>
      </c>
      <c r="G30" t="s">
        <v>126</v>
      </c>
      <c r="H30" t="s">
        <v>22</v>
      </c>
      <c r="I30" t="s">
        <v>123</v>
      </c>
      <c r="J30" t="s">
        <v>41</v>
      </c>
      <c r="K30" t="s">
        <v>107</v>
      </c>
      <c r="L30" t="s">
        <v>58</v>
      </c>
      <c r="M30" t="s">
        <v>47</v>
      </c>
      <c r="N30" t="s">
        <v>130</v>
      </c>
      <c r="O30" t="s">
        <v>131</v>
      </c>
      <c r="P30">
        <v>0.745358090185676</v>
      </c>
      <c r="Q30">
        <v>754</v>
      </c>
    </row>
    <row r="31" spans="1:17" x14ac:dyDescent="0.45">
      <c r="A31">
        <v>30</v>
      </c>
      <c r="B31">
        <v>31</v>
      </c>
      <c r="C31">
        <v>102.4</v>
      </c>
      <c r="D31">
        <v>107</v>
      </c>
      <c r="E31" t="s">
        <v>117</v>
      </c>
      <c r="F31" t="s">
        <v>25</v>
      </c>
      <c r="G31" t="s">
        <v>132</v>
      </c>
      <c r="H31" t="s">
        <v>107</v>
      </c>
      <c r="I31" t="s">
        <v>26</v>
      </c>
      <c r="J31" t="s">
        <v>16</v>
      </c>
      <c r="K31" t="s">
        <v>22</v>
      </c>
      <c r="L31" t="s">
        <v>123</v>
      </c>
      <c r="M31" t="s">
        <v>133</v>
      </c>
      <c r="N31" t="s">
        <v>134</v>
      </c>
      <c r="O31" t="s">
        <v>135</v>
      </c>
      <c r="P31">
        <v>0.78142292490118603</v>
      </c>
      <c r="Q31">
        <v>759</v>
      </c>
    </row>
    <row r="32" spans="1:17" x14ac:dyDescent="0.45">
      <c r="A32">
        <v>31</v>
      </c>
      <c r="B32">
        <v>32</v>
      </c>
      <c r="C32">
        <v>87</v>
      </c>
      <c r="D32">
        <v>72</v>
      </c>
      <c r="E32" t="s">
        <v>22</v>
      </c>
      <c r="F32" t="s">
        <v>107</v>
      </c>
      <c r="G32" t="s">
        <v>136</v>
      </c>
      <c r="H32" t="s">
        <v>26</v>
      </c>
      <c r="I32" t="s">
        <v>132</v>
      </c>
      <c r="J32" t="s">
        <v>88</v>
      </c>
      <c r="K32" t="s">
        <v>38</v>
      </c>
      <c r="L32" t="s">
        <v>123</v>
      </c>
      <c r="M32" t="s">
        <v>130</v>
      </c>
      <c r="N32" t="s">
        <v>133</v>
      </c>
      <c r="O32" t="s">
        <v>134</v>
      </c>
      <c r="P32">
        <v>0.78772504091652995</v>
      </c>
      <c r="Q32">
        <v>611</v>
      </c>
    </row>
    <row r="33" spans="1:17" x14ac:dyDescent="0.45">
      <c r="A33">
        <v>32</v>
      </c>
      <c r="B33">
        <v>33</v>
      </c>
      <c r="C33">
        <v>95.1</v>
      </c>
      <c r="D33">
        <v>115</v>
      </c>
      <c r="E33" t="s">
        <v>25</v>
      </c>
      <c r="F33" t="s">
        <v>16</v>
      </c>
      <c r="G33" t="s">
        <v>117</v>
      </c>
      <c r="H33" t="s">
        <v>88</v>
      </c>
      <c r="I33" t="s">
        <v>77</v>
      </c>
      <c r="J33" t="s">
        <v>107</v>
      </c>
      <c r="K33" t="s">
        <v>132</v>
      </c>
      <c r="L33" t="s">
        <v>58</v>
      </c>
      <c r="M33" t="s">
        <v>29</v>
      </c>
      <c r="N33" t="s">
        <v>134</v>
      </c>
      <c r="O33" t="s">
        <v>137</v>
      </c>
      <c r="P33">
        <v>0.78028909329829199</v>
      </c>
      <c r="Q33">
        <v>761</v>
      </c>
    </row>
    <row r="34" spans="1:17" x14ac:dyDescent="0.45">
      <c r="A34">
        <v>33</v>
      </c>
      <c r="B34">
        <v>34</v>
      </c>
      <c r="C34">
        <v>82.3</v>
      </c>
      <c r="D34">
        <v>79</v>
      </c>
      <c r="E34" t="s">
        <v>77</v>
      </c>
      <c r="F34" t="s">
        <v>88</v>
      </c>
      <c r="G34" t="s">
        <v>38</v>
      </c>
      <c r="H34" t="s">
        <v>132</v>
      </c>
      <c r="I34" t="s">
        <v>120</v>
      </c>
      <c r="J34" t="s">
        <v>41</v>
      </c>
      <c r="K34" t="s">
        <v>55</v>
      </c>
      <c r="L34" t="s">
        <v>58</v>
      </c>
      <c r="M34" t="s">
        <v>134</v>
      </c>
      <c r="N34" t="s">
        <v>138</v>
      </c>
      <c r="O34" t="s">
        <v>133</v>
      </c>
      <c r="P34">
        <v>0.76471663619744101</v>
      </c>
      <c r="Q34">
        <v>547</v>
      </c>
    </row>
    <row r="35" spans="1:17" x14ac:dyDescent="0.45">
      <c r="A35">
        <v>34</v>
      </c>
      <c r="B35">
        <v>35</v>
      </c>
      <c r="C35">
        <v>88.3</v>
      </c>
      <c r="D35">
        <v>77</v>
      </c>
      <c r="E35" t="s">
        <v>16</v>
      </c>
      <c r="F35" t="s">
        <v>139</v>
      </c>
      <c r="G35" t="s">
        <v>78</v>
      </c>
      <c r="H35" t="s">
        <v>140</v>
      </c>
      <c r="I35" t="s">
        <v>38</v>
      </c>
      <c r="J35" t="s">
        <v>132</v>
      </c>
      <c r="K35" t="s">
        <v>77</v>
      </c>
      <c r="L35" t="s">
        <v>14</v>
      </c>
      <c r="M35" t="s">
        <v>141</v>
      </c>
      <c r="N35" t="s">
        <v>142</v>
      </c>
      <c r="O35" t="s">
        <v>29</v>
      </c>
      <c r="P35">
        <v>0.89017038007863702</v>
      </c>
      <c r="Q35">
        <v>763</v>
      </c>
    </row>
    <row r="36" spans="1:17" x14ac:dyDescent="0.45">
      <c r="A36">
        <v>35</v>
      </c>
      <c r="B36">
        <v>36</v>
      </c>
      <c r="C36">
        <v>0</v>
      </c>
      <c r="D36">
        <v>4</v>
      </c>
      <c r="E36" t="s">
        <v>64</v>
      </c>
      <c r="F36" t="s">
        <v>143</v>
      </c>
      <c r="G36" t="s">
        <v>69</v>
      </c>
      <c r="H36" t="s">
        <v>144</v>
      </c>
      <c r="I36" t="s">
        <v>145</v>
      </c>
      <c r="J36" t="s">
        <v>146</v>
      </c>
      <c r="K36" t="s">
        <v>147</v>
      </c>
      <c r="L36" t="s">
        <v>148</v>
      </c>
      <c r="M36" t="s">
        <v>149</v>
      </c>
      <c r="N36" t="s">
        <v>150</v>
      </c>
      <c r="O36" t="s">
        <v>151</v>
      </c>
      <c r="P36">
        <v>1.09537572254335</v>
      </c>
      <c r="Q36">
        <v>692</v>
      </c>
    </row>
    <row r="37" spans="1:17" x14ac:dyDescent="0.45">
      <c r="A37">
        <v>36</v>
      </c>
      <c r="B37">
        <v>37</v>
      </c>
      <c r="C37">
        <v>86.7</v>
      </c>
      <c r="D37">
        <v>41</v>
      </c>
      <c r="E37" t="s">
        <v>78</v>
      </c>
      <c r="F37" t="s">
        <v>77</v>
      </c>
      <c r="G37" t="s">
        <v>132</v>
      </c>
      <c r="H37" t="s">
        <v>38</v>
      </c>
      <c r="I37" t="s">
        <v>41</v>
      </c>
      <c r="J37" t="s">
        <v>152</v>
      </c>
      <c r="K37" t="s">
        <v>14</v>
      </c>
      <c r="L37" t="s">
        <v>139</v>
      </c>
      <c r="M37" t="s">
        <v>18</v>
      </c>
      <c r="N37" t="s">
        <v>111</v>
      </c>
      <c r="O37" t="s">
        <v>153</v>
      </c>
      <c r="P37">
        <v>0.81615508885298904</v>
      </c>
      <c r="Q37">
        <v>619</v>
      </c>
    </row>
    <row r="38" spans="1:17" x14ac:dyDescent="0.45">
      <c r="A38">
        <v>37</v>
      </c>
      <c r="B38">
        <v>38</v>
      </c>
      <c r="C38">
        <v>87.5</v>
      </c>
      <c r="D38">
        <v>85</v>
      </c>
      <c r="E38" t="s">
        <v>78</v>
      </c>
      <c r="F38" t="s">
        <v>41</v>
      </c>
      <c r="G38" t="s">
        <v>152</v>
      </c>
      <c r="H38" t="s">
        <v>76</v>
      </c>
      <c r="I38" t="s">
        <v>77</v>
      </c>
      <c r="J38" t="s">
        <v>14</v>
      </c>
      <c r="K38" t="s">
        <v>38</v>
      </c>
      <c r="L38" t="s">
        <v>132</v>
      </c>
      <c r="M38" t="s">
        <v>74</v>
      </c>
      <c r="N38" t="s">
        <v>154</v>
      </c>
      <c r="O38" t="s">
        <v>155</v>
      </c>
      <c r="P38">
        <v>0.83393316195372702</v>
      </c>
      <c r="Q38">
        <v>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DE4A-8E3D-49FD-8D0E-D4A550259445}">
  <dimension ref="A1:Q38"/>
  <sheetViews>
    <sheetView workbookViewId="0">
      <selection activeCell="P1" sqref="P1"/>
    </sheetView>
  </sheetViews>
  <sheetFormatPr defaultRowHeight="14.25" x14ac:dyDescent="0.45"/>
  <sheetData>
    <row r="1" spans="1:1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182</v>
      </c>
      <c r="Q1" t="s">
        <v>183</v>
      </c>
    </row>
    <row r="2" spans="1:17" x14ac:dyDescent="0.45">
      <c r="A2">
        <v>1</v>
      </c>
      <c r="B2">
        <v>1</v>
      </c>
      <c r="C2">
        <v>50.4</v>
      </c>
      <c r="D2">
        <v>54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>
        <v>1.4486910994764399</v>
      </c>
      <c r="Q2">
        <v>573</v>
      </c>
    </row>
    <row r="3" spans="1:17" x14ac:dyDescent="0.45">
      <c r="A3">
        <v>2</v>
      </c>
      <c r="B3">
        <v>2</v>
      </c>
      <c r="C3">
        <v>117</v>
      </c>
      <c r="D3">
        <v>125</v>
      </c>
      <c r="E3" t="s">
        <v>25</v>
      </c>
      <c r="F3" t="s">
        <v>26</v>
      </c>
      <c r="G3" t="s">
        <v>27</v>
      </c>
      <c r="H3" t="s">
        <v>16</v>
      </c>
      <c r="I3" t="s">
        <v>19</v>
      </c>
      <c r="J3" t="s">
        <v>28</v>
      </c>
      <c r="K3" t="s">
        <v>29</v>
      </c>
      <c r="L3" t="s">
        <v>30</v>
      </c>
      <c r="M3" t="s">
        <v>22</v>
      </c>
      <c r="N3" t="s">
        <v>31</v>
      </c>
      <c r="O3" t="s">
        <v>32</v>
      </c>
      <c r="P3">
        <v>0.93253012048192796</v>
      </c>
      <c r="Q3">
        <v>581</v>
      </c>
    </row>
    <row r="4" spans="1:17" x14ac:dyDescent="0.45">
      <c r="A4">
        <v>3</v>
      </c>
      <c r="B4">
        <v>3</v>
      </c>
      <c r="C4">
        <v>101.8</v>
      </c>
      <c r="D4">
        <v>99</v>
      </c>
      <c r="E4" t="s">
        <v>27</v>
      </c>
      <c r="F4" t="s">
        <v>25</v>
      </c>
      <c r="G4" t="s">
        <v>26</v>
      </c>
      <c r="H4" t="s">
        <v>16</v>
      </c>
      <c r="I4" t="s">
        <v>31</v>
      </c>
      <c r="J4" t="s">
        <v>33</v>
      </c>
      <c r="K4" t="s">
        <v>34</v>
      </c>
      <c r="L4" t="s">
        <v>30</v>
      </c>
      <c r="M4" t="s">
        <v>35</v>
      </c>
      <c r="N4" t="s">
        <v>36</v>
      </c>
      <c r="O4" t="s">
        <v>37</v>
      </c>
      <c r="P4">
        <v>1.0194256756756801</v>
      </c>
      <c r="Q4">
        <v>592</v>
      </c>
    </row>
    <row r="5" spans="1:17" x14ac:dyDescent="0.45">
      <c r="A5">
        <v>4</v>
      </c>
      <c r="B5">
        <v>4</v>
      </c>
      <c r="C5">
        <v>101.5</v>
      </c>
      <c r="D5">
        <v>133</v>
      </c>
      <c r="E5" t="s">
        <v>16</v>
      </c>
      <c r="F5" t="s">
        <v>30</v>
      </c>
      <c r="G5" t="s">
        <v>38</v>
      </c>
      <c r="H5" t="s">
        <v>27</v>
      </c>
      <c r="I5" t="s">
        <v>39</v>
      </c>
      <c r="J5" t="s">
        <v>33</v>
      </c>
      <c r="K5" t="s">
        <v>40</v>
      </c>
      <c r="L5" t="s">
        <v>41</v>
      </c>
      <c r="M5" t="s">
        <v>42</v>
      </c>
      <c r="N5" t="s">
        <v>43</v>
      </c>
      <c r="O5" t="s">
        <v>37</v>
      </c>
      <c r="P5">
        <v>1.0387687188020001</v>
      </c>
      <c r="Q5">
        <v>601</v>
      </c>
    </row>
    <row r="6" spans="1:17" x14ac:dyDescent="0.45">
      <c r="A6">
        <v>5</v>
      </c>
      <c r="B6">
        <v>5</v>
      </c>
      <c r="C6">
        <v>89.254872501211494</v>
      </c>
      <c r="D6">
        <v>92</v>
      </c>
      <c r="E6" t="s">
        <v>16</v>
      </c>
      <c r="F6" t="s">
        <v>78</v>
      </c>
      <c r="G6" t="s">
        <v>30</v>
      </c>
      <c r="H6" t="s">
        <v>22</v>
      </c>
      <c r="I6" t="s">
        <v>38</v>
      </c>
      <c r="J6" t="s">
        <v>27</v>
      </c>
      <c r="K6" t="s">
        <v>19</v>
      </c>
      <c r="L6" t="s">
        <v>48</v>
      </c>
      <c r="M6" t="s">
        <v>29</v>
      </c>
      <c r="N6" t="s">
        <v>33</v>
      </c>
      <c r="O6" t="s">
        <v>156</v>
      </c>
      <c r="P6">
        <v>0.87089153834803301</v>
      </c>
      <c r="Q6">
        <v>608</v>
      </c>
    </row>
    <row r="7" spans="1:17" x14ac:dyDescent="0.45">
      <c r="A7">
        <v>6</v>
      </c>
      <c r="B7">
        <v>6</v>
      </c>
      <c r="C7">
        <v>85.910549551602102</v>
      </c>
      <c r="D7">
        <v>108</v>
      </c>
      <c r="E7" t="s">
        <v>16</v>
      </c>
      <c r="F7" t="s">
        <v>45</v>
      </c>
      <c r="G7" t="s">
        <v>41</v>
      </c>
      <c r="H7" t="s">
        <v>46</v>
      </c>
      <c r="I7" t="s">
        <v>31</v>
      </c>
      <c r="J7" t="s">
        <v>39</v>
      </c>
      <c r="K7" t="s">
        <v>44</v>
      </c>
      <c r="L7" t="s">
        <v>29</v>
      </c>
      <c r="M7" t="s">
        <v>18</v>
      </c>
      <c r="N7" t="s">
        <v>157</v>
      </c>
      <c r="O7" t="s">
        <v>158</v>
      </c>
      <c r="P7">
        <v>0.95572251722245205</v>
      </c>
      <c r="Q7">
        <v>624</v>
      </c>
    </row>
    <row r="8" spans="1:17" x14ac:dyDescent="0.45">
      <c r="A8">
        <v>7</v>
      </c>
      <c r="B8">
        <v>8</v>
      </c>
      <c r="C8">
        <v>81.914582991636905</v>
      </c>
      <c r="D8">
        <v>74</v>
      </c>
      <c r="E8" t="s">
        <v>16</v>
      </c>
      <c r="F8" t="s">
        <v>41</v>
      </c>
      <c r="G8" t="s">
        <v>47</v>
      </c>
      <c r="H8" t="s">
        <v>44</v>
      </c>
      <c r="I8" t="s">
        <v>48</v>
      </c>
      <c r="J8" t="s">
        <v>49</v>
      </c>
      <c r="K8" t="s">
        <v>33</v>
      </c>
      <c r="L8" t="s">
        <v>141</v>
      </c>
      <c r="M8" t="s">
        <v>50</v>
      </c>
      <c r="N8" t="s">
        <v>159</v>
      </c>
      <c r="O8" t="s">
        <v>51</v>
      </c>
      <c r="P8">
        <v>0.88402171646738903</v>
      </c>
      <c r="Q8">
        <v>440</v>
      </c>
    </row>
    <row r="9" spans="1:17" x14ac:dyDescent="0.45">
      <c r="A9">
        <v>8</v>
      </c>
      <c r="B9">
        <v>9</v>
      </c>
      <c r="C9">
        <v>122.719675312967</v>
      </c>
      <c r="D9">
        <v>173</v>
      </c>
      <c r="E9" t="s">
        <v>52</v>
      </c>
      <c r="F9" t="s">
        <v>16</v>
      </c>
      <c r="G9" t="s">
        <v>53</v>
      </c>
      <c r="H9" t="s">
        <v>54</v>
      </c>
      <c r="I9" t="s">
        <v>57</v>
      </c>
      <c r="J9" t="s">
        <v>40</v>
      </c>
      <c r="K9" t="s">
        <v>105</v>
      </c>
      <c r="L9" t="s">
        <v>60</v>
      </c>
      <c r="M9" t="s">
        <v>58</v>
      </c>
      <c r="N9" t="s">
        <v>51</v>
      </c>
      <c r="O9" t="s">
        <v>160</v>
      </c>
      <c r="P9">
        <v>0.80849142694078402</v>
      </c>
      <c r="Q9">
        <v>638</v>
      </c>
    </row>
    <row r="10" spans="1:17" x14ac:dyDescent="0.45">
      <c r="A10">
        <v>9</v>
      </c>
      <c r="B10">
        <v>10</v>
      </c>
      <c r="C10">
        <v>108.175630601714</v>
      </c>
      <c r="D10">
        <v>92</v>
      </c>
      <c r="E10" t="s">
        <v>53</v>
      </c>
      <c r="F10" t="s">
        <v>16</v>
      </c>
      <c r="G10" t="s">
        <v>52</v>
      </c>
      <c r="H10" t="s">
        <v>57</v>
      </c>
      <c r="I10" t="s">
        <v>19</v>
      </c>
      <c r="J10" t="s">
        <v>47</v>
      </c>
      <c r="K10" t="s">
        <v>60</v>
      </c>
      <c r="L10" t="s">
        <v>59</v>
      </c>
      <c r="M10" t="s">
        <v>54</v>
      </c>
      <c r="N10" t="s">
        <v>40</v>
      </c>
      <c r="O10" t="s">
        <v>58</v>
      </c>
      <c r="P10">
        <v>0.86818782605880296</v>
      </c>
      <c r="Q10">
        <v>641</v>
      </c>
    </row>
    <row r="11" spans="1:17" x14ac:dyDescent="0.45">
      <c r="A11">
        <v>10</v>
      </c>
      <c r="B11">
        <v>11</v>
      </c>
      <c r="C11">
        <v>92.151086382184602</v>
      </c>
      <c r="D11">
        <v>69</v>
      </c>
      <c r="E11" t="s">
        <v>47</v>
      </c>
      <c r="F11" t="s">
        <v>61</v>
      </c>
      <c r="G11" t="s">
        <v>16</v>
      </c>
      <c r="H11" t="s">
        <v>52</v>
      </c>
      <c r="I11" t="s">
        <v>41</v>
      </c>
      <c r="J11" t="s">
        <v>53</v>
      </c>
      <c r="K11" t="s">
        <v>60</v>
      </c>
      <c r="L11" t="s">
        <v>62</v>
      </c>
      <c r="M11" t="s">
        <v>19</v>
      </c>
      <c r="N11" t="s">
        <v>59</v>
      </c>
      <c r="O11" t="s">
        <v>33</v>
      </c>
      <c r="P11">
        <v>0.89220621265546096</v>
      </c>
      <c r="Q11">
        <v>643</v>
      </c>
    </row>
    <row r="12" spans="1:17" x14ac:dyDescent="0.45">
      <c r="A12">
        <v>11</v>
      </c>
      <c r="B12">
        <v>12</v>
      </c>
      <c r="C12">
        <v>0</v>
      </c>
      <c r="D12">
        <v>3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  <c r="P12">
        <v>1.39316239316239</v>
      </c>
      <c r="Q12">
        <v>585</v>
      </c>
    </row>
    <row r="13" spans="1:17" x14ac:dyDescent="0.45">
      <c r="A13">
        <v>12</v>
      </c>
      <c r="B13">
        <v>13</v>
      </c>
      <c r="C13">
        <v>90.625140210744206</v>
      </c>
      <c r="D13">
        <v>89</v>
      </c>
      <c r="E13" t="s">
        <v>16</v>
      </c>
      <c r="F13" t="s">
        <v>60</v>
      </c>
      <c r="G13" t="s">
        <v>74</v>
      </c>
      <c r="H13" t="s">
        <v>53</v>
      </c>
      <c r="I13" t="s">
        <v>76</v>
      </c>
      <c r="J13" t="s">
        <v>41</v>
      </c>
      <c r="K13" t="s">
        <v>75</v>
      </c>
      <c r="L13" t="s">
        <v>61</v>
      </c>
      <c r="M13" t="s">
        <v>161</v>
      </c>
      <c r="N13" t="s">
        <v>19</v>
      </c>
      <c r="O13" t="s">
        <v>32</v>
      </c>
      <c r="P13">
        <v>0.94317238200805298</v>
      </c>
      <c r="Q13">
        <v>648</v>
      </c>
    </row>
    <row r="14" spans="1:17" x14ac:dyDescent="0.45">
      <c r="A14">
        <v>13</v>
      </c>
      <c r="B14">
        <v>14</v>
      </c>
      <c r="C14">
        <v>82.609586049970005</v>
      </c>
      <c r="D14">
        <v>69</v>
      </c>
      <c r="E14" t="s">
        <v>60</v>
      </c>
      <c r="F14" t="s">
        <v>47</v>
      </c>
      <c r="G14" t="s">
        <v>74</v>
      </c>
      <c r="H14" t="s">
        <v>76</v>
      </c>
      <c r="I14" t="s">
        <v>16</v>
      </c>
      <c r="J14" t="s">
        <v>162</v>
      </c>
      <c r="K14" t="s">
        <v>52</v>
      </c>
      <c r="L14" t="s">
        <v>41</v>
      </c>
      <c r="M14" t="s">
        <v>32</v>
      </c>
      <c r="N14" t="s">
        <v>19</v>
      </c>
      <c r="O14" t="s">
        <v>75</v>
      </c>
      <c r="P14">
        <v>0.94930297283106901</v>
      </c>
      <c r="Q14">
        <v>656</v>
      </c>
    </row>
    <row r="15" spans="1:17" x14ac:dyDescent="0.45">
      <c r="A15">
        <v>14</v>
      </c>
      <c r="B15">
        <v>15</v>
      </c>
      <c r="C15">
        <v>82.738676021927304</v>
      </c>
      <c r="D15">
        <v>100</v>
      </c>
      <c r="E15" t="s">
        <v>25</v>
      </c>
      <c r="F15" t="s">
        <v>60</v>
      </c>
      <c r="G15" t="s">
        <v>78</v>
      </c>
      <c r="H15" t="s">
        <v>74</v>
      </c>
      <c r="I15" t="s">
        <v>32</v>
      </c>
      <c r="J15" t="s">
        <v>43</v>
      </c>
      <c r="K15" t="s">
        <v>80</v>
      </c>
      <c r="L15" t="s">
        <v>75</v>
      </c>
      <c r="M15" t="s">
        <v>163</v>
      </c>
      <c r="N15" t="s">
        <v>81</v>
      </c>
      <c r="O15" t="s">
        <v>41</v>
      </c>
      <c r="P15">
        <v>0.84352793158593498</v>
      </c>
      <c r="Q15">
        <v>661</v>
      </c>
    </row>
    <row r="16" spans="1:17" x14ac:dyDescent="0.45">
      <c r="A16">
        <v>15</v>
      </c>
      <c r="B16">
        <v>16</v>
      </c>
      <c r="C16">
        <v>95.8452371888459</v>
      </c>
      <c r="D16">
        <v>121</v>
      </c>
      <c r="E16" t="s">
        <v>38</v>
      </c>
      <c r="F16" t="s">
        <v>78</v>
      </c>
      <c r="G16" t="s">
        <v>82</v>
      </c>
      <c r="H16" t="s">
        <v>32</v>
      </c>
      <c r="I16" t="s">
        <v>43</v>
      </c>
      <c r="J16" t="s">
        <v>60</v>
      </c>
      <c r="K16" t="s">
        <v>83</v>
      </c>
      <c r="L16" t="s">
        <v>41</v>
      </c>
      <c r="M16" t="s">
        <v>85</v>
      </c>
      <c r="N16" t="s">
        <v>33</v>
      </c>
      <c r="O16" t="s">
        <v>84</v>
      </c>
      <c r="P16">
        <v>0.85559423395605405</v>
      </c>
      <c r="Q16">
        <v>667</v>
      </c>
    </row>
    <row r="17" spans="1:17" x14ac:dyDescent="0.45">
      <c r="A17">
        <v>16</v>
      </c>
      <c r="B17">
        <v>17</v>
      </c>
      <c r="C17">
        <v>134.48365445443801</v>
      </c>
      <c r="D17">
        <v>136</v>
      </c>
      <c r="E17" t="s">
        <v>46</v>
      </c>
      <c r="F17" t="s">
        <v>87</v>
      </c>
      <c r="G17" t="s">
        <v>78</v>
      </c>
      <c r="H17" t="s">
        <v>86</v>
      </c>
      <c r="I17" t="s">
        <v>38</v>
      </c>
      <c r="J17" t="s">
        <v>88</v>
      </c>
      <c r="K17" t="s">
        <v>32</v>
      </c>
      <c r="L17" t="s">
        <v>18</v>
      </c>
      <c r="M17" t="s">
        <v>42</v>
      </c>
      <c r="N17" t="s">
        <v>41</v>
      </c>
      <c r="O17" t="s">
        <v>90</v>
      </c>
      <c r="P17">
        <v>0.511818873751404</v>
      </c>
      <c r="Q17">
        <v>675</v>
      </c>
    </row>
    <row r="18" spans="1:17" x14ac:dyDescent="0.45">
      <c r="A18">
        <v>17</v>
      </c>
      <c r="B18">
        <v>18</v>
      </c>
      <c r="C18">
        <v>103.21290667596099</v>
      </c>
      <c r="D18">
        <v>98</v>
      </c>
      <c r="E18" t="s">
        <v>38</v>
      </c>
      <c r="F18" t="s">
        <v>46</v>
      </c>
      <c r="G18" t="s">
        <v>22</v>
      </c>
      <c r="H18" t="s">
        <v>32</v>
      </c>
      <c r="I18" t="s">
        <v>78</v>
      </c>
      <c r="J18" t="s">
        <v>164</v>
      </c>
      <c r="K18" t="s">
        <v>86</v>
      </c>
      <c r="L18" t="s">
        <v>90</v>
      </c>
      <c r="M18" t="s">
        <v>93</v>
      </c>
      <c r="N18" t="s">
        <v>31</v>
      </c>
      <c r="O18" t="s">
        <v>16</v>
      </c>
      <c r="P18">
        <v>0.72622620503279001</v>
      </c>
      <c r="Q18">
        <v>678</v>
      </c>
    </row>
    <row r="19" spans="1:17" x14ac:dyDescent="0.45">
      <c r="A19">
        <v>18</v>
      </c>
      <c r="B19">
        <v>19</v>
      </c>
      <c r="C19">
        <v>92.9631011810243</v>
      </c>
      <c r="D19">
        <v>82</v>
      </c>
      <c r="E19" t="s">
        <v>38</v>
      </c>
      <c r="F19" t="s">
        <v>90</v>
      </c>
      <c r="G19" t="s">
        <v>41</v>
      </c>
      <c r="H19" t="s">
        <v>87</v>
      </c>
      <c r="I19" t="s">
        <v>46</v>
      </c>
      <c r="J19" t="s">
        <v>22</v>
      </c>
      <c r="K19" t="s">
        <v>32</v>
      </c>
      <c r="L19" t="s">
        <v>47</v>
      </c>
      <c r="M19" t="s">
        <v>93</v>
      </c>
      <c r="N19" t="s">
        <v>16</v>
      </c>
      <c r="O19" t="s">
        <v>14</v>
      </c>
      <c r="P19">
        <v>0.79933660485922098</v>
      </c>
      <c r="Q19">
        <v>613</v>
      </c>
    </row>
    <row r="20" spans="1:17" x14ac:dyDescent="0.45">
      <c r="A20">
        <v>19</v>
      </c>
      <c r="B20">
        <v>20</v>
      </c>
      <c r="C20">
        <v>84.058152741913304</v>
      </c>
      <c r="D20">
        <v>116</v>
      </c>
      <c r="E20" t="s">
        <v>87</v>
      </c>
      <c r="F20" t="s">
        <v>38</v>
      </c>
      <c r="G20" t="s">
        <v>32</v>
      </c>
      <c r="H20" t="s">
        <v>94</v>
      </c>
      <c r="I20" t="s">
        <v>50</v>
      </c>
      <c r="J20" t="s">
        <v>22</v>
      </c>
      <c r="K20" t="s">
        <v>97</v>
      </c>
      <c r="L20" t="s">
        <v>95</v>
      </c>
      <c r="M20" t="s">
        <v>96</v>
      </c>
      <c r="N20" t="s">
        <v>86</v>
      </c>
      <c r="O20" t="s">
        <v>31</v>
      </c>
      <c r="P20">
        <v>0.79566514489940698</v>
      </c>
      <c r="Q20">
        <v>564</v>
      </c>
    </row>
    <row r="21" spans="1:17" x14ac:dyDescent="0.45">
      <c r="A21">
        <v>20</v>
      </c>
      <c r="B21">
        <v>21</v>
      </c>
      <c r="C21">
        <v>88.782043515131406</v>
      </c>
      <c r="D21">
        <v>77</v>
      </c>
      <c r="E21" t="s">
        <v>38</v>
      </c>
      <c r="F21" t="s">
        <v>87</v>
      </c>
      <c r="G21" t="s">
        <v>16</v>
      </c>
      <c r="H21" t="s">
        <v>32</v>
      </c>
      <c r="I21" t="s">
        <v>92</v>
      </c>
      <c r="J21" t="s">
        <v>47</v>
      </c>
      <c r="K21" t="s">
        <v>46</v>
      </c>
      <c r="L21" t="s">
        <v>41</v>
      </c>
      <c r="M21" t="s">
        <v>50</v>
      </c>
      <c r="N21" t="s">
        <v>95</v>
      </c>
      <c r="O21" t="s">
        <v>90</v>
      </c>
      <c r="P21">
        <v>0.86065891327347699</v>
      </c>
      <c r="Q21">
        <v>707</v>
      </c>
    </row>
    <row r="22" spans="1:17" x14ac:dyDescent="0.45">
      <c r="A22">
        <v>21</v>
      </c>
      <c r="B22">
        <v>22</v>
      </c>
      <c r="C22">
        <v>87.826230962465601</v>
      </c>
      <c r="D22">
        <v>73</v>
      </c>
      <c r="E22" t="s">
        <v>100</v>
      </c>
      <c r="F22" t="s">
        <v>87</v>
      </c>
      <c r="G22" t="s">
        <v>101</v>
      </c>
      <c r="H22" t="s">
        <v>62</v>
      </c>
      <c r="I22" t="s">
        <v>102</v>
      </c>
      <c r="J22" t="s">
        <v>105</v>
      </c>
      <c r="K22" t="s">
        <v>94</v>
      </c>
      <c r="L22" t="s">
        <v>47</v>
      </c>
      <c r="M22" t="s">
        <v>16</v>
      </c>
      <c r="N22" t="s">
        <v>103</v>
      </c>
      <c r="O22" t="s">
        <v>32</v>
      </c>
      <c r="P22">
        <v>0.82942249122091805</v>
      </c>
      <c r="Q22">
        <v>665</v>
      </c>
    </row>
    <row r="23" spans="1:17" x14ac:dyDescent="0.45">
      <c r="A23">
        <v>22</v>
      </c>
      <c r="B23">
        <v>23</v>
      </c>
      <c r="C23">
        <v>81.412104850348697</v>
      </c>
      <c r="D23">
        <v>62</v>
      </c>
      <c r="E23" t="s">
        <v>105</v>
      </c>
      <c r="F23" t="s">
        <v>100</v>
      </c>
      <c r="G23" t="s">
        <v>46</v>
      </c>
      <c r="H23" t="s">
        <v>108</v>
      </c>
      <c r="I23" t="s">
        <v>98</v>
      </c>
      <c r="J23" t="s">
        <v>103</v>
      </c>
      <c r="K23" t="s">
        <v>113</v>
      </c>
      <c r="L23" t="s">
        <v>101</v>
      </c>
      <c r="M23" t="s">
        <v>107</v>
      </c>
      <c r="N23" t="s">
        <v>86</v>
      </c>
      <c r="O23" t="s">
        <v>41</v>
      </c>
      <c r="P23">
        <v>0.70523309254364397</v>
      </c>
      <c r="Q23">
        <v>680</v>
      </c>
    </row>
    <row r="24" spans="1:17" x14ac:dyDescent="0.45">
      <c r="A24">
        <v>23</v>
      </c>
      <c r="B24">
        <v>24</v>
      </c>
      <c r="C24">
        <v>89.570094686813803</v>
      </c>
      <c r="D24">
        <v>103</v>
      </c>
      <c r="E24" t="s">
        <v>46</v>
      </c>
      <c r="F24" t="s">
        <v>111</v>
      </c>
      <c r="G24" t="s">
        <v>113</v>
      </c>
      <c r="H24" t="s">
        <v>109</v>
      </c>
      <c r="I24" t="s">
        <v>86</v>
      </c>
      <c r="J24" t="s">
        <v>47</v>
      </c>
      <c r="K24" t="s">
        <v>78</v>
      </c>
      <c r="L24" t="s">
        <v>107</v>
      </c>
      <c r="M24" t="s">
        <v>103</v>
      </c>
      <c r="N24" t="s">
        <v>165</v>
      </c>
      <c r="O24" t="s">
        <v>80</v>
      </c>
      <c r="P24">
        <v>0.739233680347952</v>
      </c>
      <c r="Q24">
        <v>746</v>
      </c>
    </row>
    <row r="25" spans="1:17" x14ac:dyDescent="0.45">
      <c r="A25">
        <v>24</v>
      </c>
      <c r="B25">
        <v>25</v>
      </c>
      <c r="C25">
        <v>69.053155592765606</v>
      </c>
      <c r="D25">
        <v>71</v>
      </c>
      <c r="E25" t="s">
        <v>107</v>
      </c>
      <c r="F25" t="s">
        <v>111</v>
      </c>
      <c r="G25" t="s">
        <v>117</v>
      </c>
      <c r="H25" t="s">
        <v>114</v>
      </c>
      <c r="I25" t="s">
        <v>118</v>
      </c>
      <c r="J25" t="s">
        <v>86</v>
      </c>
      <c r="K25" t="s">
        <v>115</v>
      </c>
      <c r="L25" t="s">
        <v>116</v>
      </c>
      <c r="M25" t="s">
        <v>166</v>
      </c>
      <c r="N25" t="s">
        <v>112</v>
      </c>
      <c r="O25" t="s">
        <v>16</v>
      </c>
      <c r="P25">
        <v>0.91105722012930401</v>
      </c>
      <c r="Q25">
        <v>456</v>
      </c>
    </row>
    <row r="26" spans="1:17" x14ac:dyDescent="0.45">
      <c r="A26">
        <v>25</v>
      </c>
      <c r="B26">
        <v>26</v>
      </c>
      <c r="C26">
        <v>84.477083860334403</v>
      </c>
      <c r="D26">
        <v>91</v>
      </c>
      <c r="E26" t="s">
        <v>78</v>
      </c>
      <c r="F26" t="s">
        <v>46</v>
      </c>
      <c r="G26" t="s">
        <v>47</v>
      </c>
      <c r="H26" t="s">
        <v>14</v>
      </c>
      <c r="I26" t="s">
        <v>74</v>
      </c>
      <c r="J26" t="s">
        <v>100</v>
      </c>
      <c r="K26" t="s">
        <v>31</v>
      </c>
      <c r="L26" t="s">
        <v>22</v>
      </c>
      <c r="M26" t="s">
        <v>103</v>
      </c>
      <c r="N26" t="s">
        <v>107</v>
      </c>
      <c r="O26" t="s">
        <v>35</v>
      </c>
      <c r="P26">
        <v>0.89278594724297</v>
      </c>
      <c r="Q26">
        <v>747</v>
      </c>
    </row>
    <row r="27" spans="1:17" x14ac:dyDescent="0.45">
      <c r="A27">
        <v>26</v>
      </c>
      <c r="B27">
        <v>27</v>
      </c>
      <c r="C27">
        <v>77.040935923319395</v>
      </c>
      <c r="D27">
        <v>76</v>
      </c>
      <c r="E27" t="s">
        <v>78</v>
      </c>
      <c r="F27" t="s">
        <v>46</v>
      </c>
      <c r="G27" t="s">
        <v>22</v>
      </c>
      <c r="H27" t="s">
        <v>14</v>
      </c>
      <c r="I27" t="s">
        <v>41</v>
      </c>
      <c r="J27" t="s">
        <v>18</v>
      </c>
      <c r="K27" t="s">
        <v>167</v>
      </c>
      <c r="L27" t="s">
        <v>107</v>
      </c>
      <c r="M27" t="s">
        <v>35</v>
      </c>
      <c r="N27" t="s">
        <v>43</v>
      </c>
      <c r="O27" t="s">
        <v>121</v>
      </c>
      <c r="P27">
        <v>0.85548399138420606</v>
      </c>
      <c r="Q27">
        <v>602</v>
      </c>
    </row>
    <row r="28" spans="1:17" x14ac:dyDescent="0.45">
      <c r="A28">
        <v>27</v>
      </c>
      <c r="B28">
        <v>28</v>
      </c>
      <c r="C28">
        <v>81.514884921845905</v>
      </c>
      <c r="D28">
        <v>110</v>
      </c>
      <c r="E28" t="s">
        <v>47</v>
      </c>
      <c r="F28" t="s">
        <v>22</v>
      </c>
      <c r="G28" t="s">
        <v>121</v>
      </c>
      <c r="H28" t="s">
        <v>41</v>
      </c>
      <c r="I28" t="s">
        <v>58</v>
      </c>
      <c r="J28" t="s">
        <v>123</v>
      </c>
      <c r="K28" t="s">
        <v>124</v>
      </c>
      <c r="L28" t="s">
        <v>43</v>
      </c>
      <c r="M28" t="s">
        <v>122</v>
      </c>
      <c r="N28" t="s">
        <v>104</v>
      </c>
      <c r="O28" t="s">
        <v>31</v>
      </c>
      <c r="P28">
        <v>0.73235536799328804</v>
      </c>
      <c r="Q28">
        <v>539</v>
      </c>
    </row>
    <row r="29" spans="1:17" x14ac:dyDescent="0.45">
      <c r="A29">
        <v>28</v>
      </c>
      <c r="B29">
        <v>29</v>
      </c>
      <c r="C29">
        <v>74.353148582971301</v>
      </c>
      <c r="D29">
        <v>53</v>
      </c>
      <c r="E29" t="s">
        <v>41</v>
      </c>
      <c r="F29" t="s">
        <v>117</v>
      </c>
      <c r="G29" t="s">
        <v>47</v>
      </c>
      <c r="H29" t="s">
        <v>22</v>
      </c>
      <c r="I29" t="s">
        <v>34</v>
      </c>
      <c r="J29" t="s">
        <v>43</v>
      </c>
      <c r="K29" t="s">
        <v>124</v>
      </c>
      <c r="L29" t="s">
        <v>168</v>
      </c>
      <c r="M29" t="s">
        <v>109</v>
      </c>
      <c r="N29" t="s">
        <v>127</v>
      </c>
      <c r="O29" t="s">
        <v>167</v>
      </c>
      <c r="P29">
        <v>0.72134266112063505</v>
      </c>
      <c r="Q29">
        <v>295</v>
      </c>
    </row>
    <row r="30" spans="1:17" x14ac:dyDescent="0.45">
      <c r="A30">
        <v>29</v>
      </c>
      <c r="B30">
        <v>30</v>
      </c>
      <c r="C30">
        <v>94.555051307317996</v>
      </c>
      <c r="D30">
        <v>101</v>
      </c>
      <c r="E30" t="s">
        <v>117</v>
      </c>
      <c r="F30" t="s">
        <v>22</v>
      </c>
      <c r="G30" t="s">
        <v>25</v>
      </c>
      <c r="H30" t="s">
        <v>123</v>
      </c>
      <c r="I30" t="s">
        <v>41</v>
      </c>
      <c r="J30" t="s">
        <v>107</v>
      </c>
      <c r="K30" t="s">
        <v>34</v>
      </c>
      <c r="L30" t="s">
        <v>87</v>
      </c>
      <c r="M30" t="s">
        <v>58</v>
      </c>
      <c r="N30" t="s">
        <v>131</v>
      </c>
      <c r="O30" t="s">
        <v>169</v>
      </c>
      <c r="P30">
        <v>0.72269501758510502</v>
      </c>
      <c r="Q30">
        <v>754</v>
      </c>
    </row>
    <row r="31" spans="1:17" x14ac:dyDescent="0.45">
      <c r="A31">
        <v>30</v>
      </c>
      <c r="B31">
        <v>31</v>
      </c>
      <c r="C31">
        <v>89.4036761023102</v>
      </c>
      <c r="D31">
        <v>83</v>
      </c>
      <c r="E31" t="s">
        <v>117</v>
      </c>
      <c r="F31" t="s">
        <v>107</v>
      </c>
      <c r="G31" t="s">
        <v>25</v>
      </c>
      <c r="H31" t="s">
        <v>22</v>
      </c>
      <c r="I31" t="s">
        <v>170</v>
      </c>
      <c r="J31" t="s">
        <v>38</v>
      </c>
      <c r="K31" t="s">
        <v>123</v>
      </c>
      <c r="L31" t="s">
        <v>41</v>
      </c>
      <c r="M31" t="s">
        <v>133</v>
      </c>
      <c r="N31" t="s">
        <v>158</v>
      </c>
      <c r="O31" t="s">
        <v>58</v>
      </c>
      <c r="P31">
        <v>0.75843604874265302</v>
      </c>
      <c r="Q31">
        <v>759</v>
      </c>
    </row>
    <row r="32" spans="1:17" x14ac:dyDescent="0.45">
      <c r="A32">
        <v>31</v>
      </c>
      <c r="B32">
        <v>32</v>
      </c>
      <c r="C32">
        <v>78.9048449127271</v>
      </c>
      <c r="D32">
        <v>69</v>
      </c>
      <c r="E32" t="s">
        <v>22</v>
      </c>
      <c r="F32" t="s">
        <v>107</v>
      </c>
      <c r="G32" t="s">
        <v>38</v>
      </c>
      <c r="H32" t="s">
        <v>132</v>
      </c>
      <c r="I32" t="s">
        <v>136</v>
      </c>
      <c r="J32" t="s">
        <v>105</v>
      </c>
      <c r="K32" t="s">
        <v>170</v>
      </c>
      <c r="L32" t="s">
        <v>123</v>
      </c>
      <c r="M32" t="s">
        <v>130</v>
      </c>
      <c r="N32" t="s">
        <v>133</v>
      </c>
      <c r="O32" t="s">
        <v>125</v>
      </c>
      <c r="P32">
        <v>0.75777835043384301</v>
      </c>
      <c r="Q32">
        <v>611</v>
      </c>
    </row>
    <row r="33" spans="1:17" x14ac:dyDescent="0.45">
      <c r="A33">
        <v>32</v>
      </c>
      <c r="B33">
        <v>33</v>
      </c>
      <c r="C33">
        <v>86.032452407091796</v>
      </c>
      <c r="D33">
        <v>100</v>
      </c>
      <c r="E33" t="s">
        <v>25</v>
      </c>
      <c r="F33" t="s">
        <v>117</v>
      </c>
      <c r="G33" t="s">
        <v>132</v>
      </c>
      <c r="H33" t="s">
        <v>107</v>
      </c>
      <c r="I33" t="s">
        <v>88</v>
      </c>
      <c r="J33" t="s">
        <v>41</v>
      </c>
      <c r="K33" t="s">
        <v>22</v>
      </c>
      <c r="L33" t="s">
        <v>58</v>
      </c>
      <c r="M33" t="s">
        <v>29</v>
      </c>
      <c r="N33" t="s">
        <v>134</v>
      </c>
      <c r="O33" t="s">
        <v>135</v>
      </c>
      <c r="P33">
        <v>0.78042010005564</v>
      </c>
      <c r="Q33">
        <v>761</v>
      </c>
    </row>
    <row r="34" spans="1:17" x14ac:dyDescent="0.45">
      <c r="A34">
        <v>33</v>
      </c>
      <c r="B34">
        <v>34</v>
      </c>
      <c r="C34">
        <v>75.659905206570798</v>
      </c>
      <c r="D34">
        <v>62</v>
      </c>
      <c r="E34" t="s">
        <v>88</v>
      </c>
      <c r="F34" t="s">
        <v>132</v>
      </c>
      <c r="G34" t="s">
        <v>38</v>
      </c>
      <c r="H34" t="s">
        <v>55</v>
      </c>
      <c r="I34" t="s">
        <v>41</v>
      </c>
      <c r="J34" t="s">
        <v>140</v>
      </c>
      <c r="K34" t="s">
        <v>171</v>
      </c>
      <c r="L34" t="s">
        <v>58</v>
      </c>
      <c r="M34" t="s">
        <v>138</v>
      </c>
      <c r="N34" t="s">
        <v>134</v>
      </c>
      <c r="O34" t="s">
        <v>133</v>
      </c>
      <c r="P34">
        <v>0.69421288336585296</v>
      </c>
      <c r="Q34">
        <v>547</v>
      </c>
    </row>
    <row r="35" spans="1:17" x14ac:dyDescent="0.45">
      <c r="A35">
        <v>34</v>
      </c>
      <c r="B35">
        <v>35</v>
      </c>
      <c r="C35">
        <v>84.817381207742102</v>
      </c>
      <c r="D35">
        <v>97</v>
      </c>
      <c r="E35" t="s">
        <v>139</v>
      </c>
      <c r="F35" t="s">
        <v>78</v>
      </c>
      <c r="G35" t="s">
        <v>140</v>
      </c>
      <c r="H35" t="s">
        <v>16</v>
      </c>
      <c r="I35" t="s">
        <v>38</v>
      </c>
      <c r="J35" t="s">
        <v>132</v>
      </c>
      <c r="K35" t="s">
        <v>41</v>
      </c>
      <c r="L35" t="s">
        <v>14</v>
      </c>
      <c r="M35" t="s">
        <v>58</v>
      </c>
      <c r="N35" t="s">
        <v>142</v>
      </c>
      <c r="O35" t="s">
        <v>129</v>
      </c>
      <c r="P35">
        <v>0.84130170915407498</v>
      </c>
      <c r="Q35">
        <v>763</v>
      </c>
    </row>
    <row r="36" spans="1:17" x14ac:dyDescent="0.45">
      <c r="A36">
        <v>35</v>
      </c>
      <c r="B36">
        <v>36</v>
      </c>
      <c r="C36">
        <v>0</v>
      </c>
      <c r="D36">
        <v>4</v>
      </c>
      <c r="E36" t="s">
        <v>64</v>
      </c>
      <c r="F36" t="s">
        <v>143</v>
      </c>
      <c r="G36" t="s">
        <v>69</v>
      </c>
      <c r="H36" t="s">
        <v>144</v>
      </c>
      <c r="I36" t="s">
        <v>145</v>
      </c>
      <c r="J36" t="s">
        <v>146</v>
      </c>
      <c r="K36" t="s">
        <v>147</v>
      </c>
      <c r="L36" t="s">
        <v>148</v>
      </c>
      <c r="M36" t="s">
        <v>149</v>
      </c>
      <c r="N36" t="s">
        <v>150</v>
      </c>
      <c r="O36" t="s">
        <v>151</v>
      </c>
      <c r="P36">
        <v>1.09537572254335</v>
      </c>
      <c r="Q36">
        <v>692</v>
      </c>
    </row>
    <row r="37" spans="1:17" x14ac:dyDescent="0.45">
      <c r="A37">
        <v>36</v>
      </c>
      <c r="B37">
        <v>37</v>
      </c>
      <c r="C37">
        <v>82.206216905573598</v>
      </c>
      <c r="D37">
        <v>38</v>
      </c>
      <c r="E37" t="s">
        <v>78</v>
      </c>
      <c r="F37" t="s">
        <v>132</v>
      </c>
      <c r="G37" t="s">
        <v>139</v>
      </c>
      <c r="H37" t="s">
        <v>38</v>
      </c>
      <c r="I37" t="s">
        <v>41</v>
      </c>
      <c r="J37" t="s">
        <v>77</v>
      </c>
      <c r="K37" t="s">
        <v>14</v>
      </c>
      <c r="L37" t="s">
        <v>172</v>
      </c>
      <c r="M37" t="s">
        <v>18</v>
      </c>
      <c r="N37" t="s">
        <v>111</v>
      </c>
      <c r="O37" t="s">
        <v>101</v>
      </c>
      <c r="P37">
        <v>0.78805707978689399</v>
      </c>
      <c r="Q37">
        <v>619</v>
      </c>
    </row>
    <row r="38" spans="1:17" x14ac:dyDescent="0.45">
      <c r="A38">
        <v>37</v>
      </c>
      <c r="B38">
        <v>38</v>
      </c>
      <c r="C38">
        <v>82.293613478568801</v>
      </c>
      <c r="D38">
        <v>76</v>
      </c>
      <c r="E38" t="s">
        <v>78</v>
      </c>
      <c r="F38" t="s">
        <v>41</v>
      </c>
      <c r="G38" t="s">
        <v>132</v>
      </c>
      <c r="H38" t="s">
        <v>139</v>
      </c>
      <c r="I38" t="s">
        <v>124</v>
      </c>
      <c r="J38" t="s">
        <v>38</v>
      </c>
      <c r="K38" t="s">
        <v>14</v>
      </c>
      <c r="L38" t="s">
        <v>152</v>
      </c>
      <c r="M38" t="s">
        <v>173</v>
      </c>
      <c r="N38" t="s">
        <v>18</v>
      </c>
      <c r="O38" t="s">
        <v>155</v>
      </c>
      <c r="P38">
        <v>0.79427613291902199</v>
      </c>
      <c r="Q38">
        <v>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2D4F-0102-4A1A-951C-4230171DF9CD}">
  <dimension ref="A1:Q38"/>
  <sheetViews>
    <sheetView workbookViewId="0">
      <selection activeCell="P1" sqref="P1"/>
    </sheetView>
  </sheetViews>
  <sheetFormatPr defaultRowHeight="14.25" x14ac:dyDescent="0.45"/>
  <sheetData>
    <row r="1" spans="1:1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182</v>
      </c>
      <c r="Q1" t="s">
        <v>183</v>
      </c>
    </row>
    <row r="2" spans="1:17" x14ac:dyDescent="0.45">
      <c r="A2">
        <v>1</v>
      </c>
      <c r="B2">
        <v>1</v>
      </c>
      <c r="C2">
        <v>57.1</v>
      </c>
      <c r="D2">
        <v>49</v>
      </c>
      <c r="E2" t="s">
        <v>14</v>
      </c>
      <c r="F2" t="s">
        <v>185</v>
      </c>
      <c r="G2" t="s">
        <v>105</v>
      </c>
      <c r="H2" t="s">
        <v>18</v>
      </c>
      <c r="I2" t="s">
        <v>57</v>
      </c>
      <c r="J2" t="s">
        <v>47</v>
      </c>
      <c r="K2" t="s">
        <v>74</v>
      </c>
      <c r="L2" t="s">
        <v>186</v>
      </c>
      <c r="M2" t="s">
        <v>94</v>
      </c>
      <c r="N2" t="s">
        <v>187</v>
      </c>
      <c r="O2" t="s">
        <v>31</v>
      </c>
      <c r="P2">
        <v>1.4319480519480501</v>
      </c>
      <c r="Q2">
        <v>385</v>
      </c>
    </row>
    <row r="3" spans="1:17" x14ac:dyDescent="0.45">
      <c r="A3">
        <v>2</v>
      </c>
      <c r="B3">
        <v>2</v>
      </c>
      <c r="C3">
        <v>57.2</v>
      </c>
      <c r="D3">
        <v>34</v>
      </c>
      <c r="E3" t="s">
        <v>14</v>
      </c>
      <c r="F3" t="s">
        <v>185</v>
      </c>
      <c r="G3" t="s">
        <v>105</v>
      </c>
      <c r="H3" t="s">
        <v>41</v>
      </c>
      <c r="I3" t="s">
        <v>18</v>
      </c>
      <c r="J3" t="s">
        <v>74</v>
      </c>
      <c r="K3" t="s">
        <v>188</v>
      </c>
      <c r="L3" t="s">
        <v>94</v>
      </c>
      <c r="M3" t="s">
        <v>187</v>
      </c>
      <c r="N3" t="s">
        <v>17</v>
      </c>
      <c r="O3" t="s">
        <v>24</v>
      </c>
      <c r="P3">
        <v>1.6282383419689099</v>
      </c>
      <c r="Q3">
        <v>386</v>
      </c>
    </row>
    <row r="4" spans="1:17" x14ac:dyDescent="0.45">
      <c r="A4">
        <v>3</v>
      </c>
      <c r="B4">
        <v>3</v>
      </c>
      <c r="C4">
        <v>57.3</v>
      </c>
      <c r="D4">
        <v>35</v>
      </c>
      <c r="E4" t="s">
        <v>14</v>
      </c>
      <c r="F4" t="s">
        <v>185</v>
      </c>
      <c r="G4" t="s">
        <v>105</v>
      </c>
      <c r="H4" t="s">
        <v>18</v>
      </c>
      <c r="I4" t="s">
        <v>57</v>
      </c>
      <c r="J4" t="s">
        <v>47</v>
      </c>
      <c r="K4" t="s">
        <v>74</v>
      </c>
      <c r="L4" t="s">
        <v>188</v>
      </c>
      <c r="M4" t="s">
        <v>186</v>
      </c>
      <c r="N4" t="s">
        <v>187</v>
      </c>
      <c r="O4" t="s">
        <v>31</v>
      </c>
      <c r="P4">
        <v>1.56855670103093</v>
      </c>
      <c r="Q4">
        <v>388</v>
      </c>
    </row>
    <row r="5" spans="1:17" x14ac:dyDescent="0.45">
      <c r="A5">
        <v>4</v>
      </c>
      <c r="B5">
        <v>4</v>
      </c>
      <c r="C5">
        <v>57.6</v>
      </c>
      <c r="D5">
        <v>80</v>
      </c>
      <c r="E5" t="s">
        <v>14</v>
      </c>
      <c r="F5" t="s">
        <v>185</v>
      </c>
      <c r="G5" t="s">
        <v>105</v>
      </c>
      <c r="H5" t="s">
        <v>41</v>
      </c>
      <c r="I5" t="s">
        <v>15</v>
      </c>
      <c r="J5" t="s">
        <v>74</v>
      </c>
      <c r="K5" t="s">
        <v>188</v>
      </c>
      <c r="L5" t="s">
        <v>186</v>
      </c>
      <c r="M5" t="s">
        <v>94</v>
      </c>
      <c r="N5" t="s">
        <v>187</v>
      </c>
      <c r="O5" t="s">
        <v>17</v>
      </c>
      <c r="P5">
        <v>1.4402564102564099</v>
      </c>
      <c r="Q5">
        <v>390</v>
      </c>
    </row>
    <row r="6" spans="1:17" x14ac:dyDescent="0.45">
      <c r="A6">
        <v>5</v>
      </c>
      <c r="B6">
        <v>5</v>
      </c>
      <c r="C6">
        <v>59.6</v>
      </c>
      <c r="D6">
        <v>41</v>
      </c>
      <c r="E6" t="s">
        <v>78</v>
      </c>
      <c r="F6" t="s">
        <v>185</v>
      </c>
      <c r="G6" t="s">
        <v>105</v>
      </c>
      <c r="H6" t="s">
        <v>15</v>
      </c>
      <c r="I6" t="s">
        <v>57</v>
      </c>
      <c r="J6" t="s">
        <v>74</v>
      </c>
      <c r="K6" t="s">
        <v>188</v>
      </c>
      <c r="L6" t="s">
        <v>186</v>
      </c>
      <c r="M6" t="s">
        <v>187</v>
      </c>
      <c r="N6" t="s">
        <v>17</v>
      </c>
      <c r="O6" t="s">
        <v>189</v>
      </c>
      <c r="P6">
        <v>1.3272959183673501</v>
      </c>
      <c r="Q6">
        <v>392</v>
      </c>
    </row>
    <row r="7" spans="1:17" x14ac:dyDescent="0.45">
      <c r="A7">
        <v>6</v>
      </c>
      <c r="B7">
        <v>6</v>
      </c>
      <c r="C7">
        <v>57.4</v>
      </c>
      <c r="D7">
        <v>39</v>
      </c>
      <c r="E7" t="s">
        <v>185</v>
      </c>
      <c r="F7" t="s">
        <v>105</v>
      </c>
      <c r="G7" t="s">
        <v>41</v>
      </c>
      <c r="H7" t="s">
        <v>15</v>
      </c>
      <c r="I7" t="s">
        <v>18</v>
      </c>
      <c r="J7" t="s">
        <v>47</v>
      </c>
      <c r="K7" t="s">
        <v>74</v>
      </c>
      <c r="L7" t="s">
        <v>188</v>
      </c>
      <c r="M7" t="s">
        <v>186</v>
      </c>
      <c r="N7" t="s">
        <v>187</v>
      </c>
      <c r="O7" t="s">
        <v>17</v>
      </c>
      <c r="P7">
        <v>1.59113924050633</v>
      </c>
      <c r="Q7">
        <v>395</v>
      </c>
    </row>
    <row r="8" spans="1:17" x14ac:dyDescent="0.45">
      <c r="A8">
        <v>7</v>
      </c>
      <c r="B8">
        <v>8</v>
      </c>
      <c r="C8">
        <v>55.3</v>
      </c>
      <c r="D8">
        <v>52</v>
      </c>
      <c r="E8" t="s">
        <v>185</v>
      </c>
      <c r="F8" t="s">
        <v>105</v>
      </c>
      <c r="G8" t="s">
        <v>41</v>
      </c>
      <c r="H8" t="s">
        <v>57</v>
      </c>
      <c r="I8" t="s">
        <v>47</v>
      </c>
      <c r="J8" t="s">
        <v>188</v>
      </c>
      <c r="K8" t="s">
        <v>186</v>
      </c>
      <c r="L8" t="s">
        <v>187</v>
      </c>
      <c r="M8" t="s">
        <v>17</v>
      </c>
      <c r="N8" t="s">
        <v>29</v>
      </c>
      <c r="O8" t="s">
        <v>190</v>
      </c>
      <c r="P8">
        <v>1.4750000000000001</v>
      </c>
      <c r="Q8">
        <v>260</v>
      </c>
    </row>
    <row r="9" spans="1:17" x14ac:dyDescent="0.45">
      <c r="A9">
        <v>8</v>
      </c>
      <c r="B9">
        <v>9</v>
      </c>
      <c r="C9">
        <v>58.2</v>
      </c>
      <c r="D9">
        <v>48</v>
      </c>
      <c r="E9" t="s">
        <v>14</v>
      </c>
      <c r="F9" t="s">
        <v>185</v>
      </c>
      <c r="G9" t="s">
        <v>105</v>
      </c>
      <c r="H9" t="s">
        <v>41</v>
      </c>
      <c r="I9" t="s">
        <v>15</v>
      </c>
      <c r="J9" t="s">
        <v>57</v>
      </c>
      <c r="K9" t="s">
        <v>74</v>
      </c>
      <c r="L9" t="s">
        <v>188</v>
      </c>
      <c r="M9" t="s">
        <v>186</v>
      </c>
      <c r="N9" t="s">
        <v>187</v>
      </c>
      <c r="O9" t="s">
        <v>17</v>
      </c>
      <c r="P9">
        <v>1.5902499999999999</v>
      </c>
      <c r="Q9">
        <v>400</v>
      </c>
    </row>
    <row r="10" spans="1:17" x14ac:dyDescent="0.45">
      <c r="A10">
        <v>9</v>
      </c>
      <c r="B10">
        <v>10</v>
      </c>
      <c r="C10">
        <v>59.8</v>
      </c>
      <c r="D10">
        <v>67</v>
      </c>
      <c r="E10" t="s">
        <v>78</v>
      </c>
      <c r="F10" t="s">
        <v>14</v>
      </c>
      <c r="G10" t="s">
        <v>185</v>
      </c>
      <c r="H10" t="s">
        <v>105</v>
      </c>
      <c r="I10" t="s">
        <v>47</v>
      </c>
      <c r="J10" t="s">
        <v>74</v>
      </c>
      <c r="K10" t="s">
        <v>186</v>
      </c>
      <c r="L10" t="s">
        <v>187</v>
      </c>
      <c r="M10" t="s">
        <v>17</v>
      </c>
      <c r="N10" t="s">
        <v>24</v>
      </c>
      <c r="O10" t="s">
        <v>191</v>
      </c>
      <c r="P10">
        <v>1.42269326683292</v>
      </c>
      <c r="Q10">
        <v>401</v>
      </c>
    </row>
    <row r="11" spans="1:17" x14ac:dyDescent="0.45">
      <c r="A11">
        <v>10</v>
      </c>
      <c r="B11">
        <v>11</v>
      </c>
      <c r="C11">
        <v>58.1</v>
      </c>
      <c r="D11">
        <v>46</v>
      </c>
      <c r="E11" t="s">
        <v>14</v>
      </c>
      <c r="F11" t="s">
        <v>185</v>
      </c>
      <c r="G11" t="s">
        <v>105</v>
      </c>
      <c r="H11" t="s">
        <v>41</v>
      </c>
      <c r="I11" t="s">
        <v>18</v>
      </c>
      <c r="J11" t="s">
        <v>57</v>
      </c>
      <c r="K11" t="s">
        <v>74</v>
      </c>
      <c r="L11" t="s">
        <v>188</v>
      </c>
      <c r="M11" t="s">
        <v>186</v>
      </c>
      <c r="N11" t="s">
        <v>187</v>
      </c>
      <c r="O11" t="s">
        <v>17</v>
      </c>
      <c r="P11">
        <v>1.5369077306733201</v>
      </c>
      <c r="Q11">
        <v>401</v>
      </c>
    </row>
    <row r="12" spans="1:17" x14ac:dyDescent="0.45">
      <c r="A12">
        <v>11</v>
      </c>
      <c r="B12">
        <v>12</v>
      </c>
      <c r="C12">
        <v>57.6</v>
      </c>
      <c r="D12">
        <v>47</v>
      </c>
      <c r="E12" t="s">
        <v>14</v>
      </c>
      <c r="F12" t="s">
        <v>185</v>
      </c>
      <c r="G12" t="s">
        <v>105</v>
      </c>
      <c r="H12" t="s">
        <v>41</v>
      </c>
      <c r="I12" t="s">
        <v>15</v>
      </c>
      <c r="J12" t="s">
        <v>57</v>
      </c>
      <c r="K12" t="s">
        <v>74</v>
      </c>
      <c r="L12" t="s">
        <v>61</v>
      </c>
      <c r="M12" t="s">
        <v>187</v>
      </c>
      <c r="N12" t="s">
        <v>24</v>
      </c>
      <c r="O12" t="s">
        <v>29</v>
      </c>
      <c r="P12">
        <v>1.6410326086956499</v>
      </c>
      <c r="Q12">
        <v>368</v>
      </c>
    </row>
    <row r="13" spans="1:17" x14ac:dyDescent="0.45">
      <c r="A13">
        <v>12</v>
      </c>
      <c r="B13">
        <v>13</v>
      </c>
      <c r="C13">
        <v>58.1</v>
      </c>
      <c r="D13">
        <v>30</v>
      </c>
      <c r="E13" t="s">
        <v>14</v>
      </c>
      <c r="F13" t="s">
        <v>185</v>
      </c>
      <c r="G13" t="s">
        <v>105</v>
      </c>
      <c r="H13" t="s">
        <v>41</v>
      </c>
      <c r="I13" t="s">
        <v>15</v>
      </c>
      <c r="J13" t="s">
        <v>47</v>
      </c>
      <c r="K13" t="s">
        <v>74</v>
      </c>
      <c r="L13" t="s">
        <v>188</v>
      </c>
      <c r="M13" t="s">
        <v>186</v>
      </c>
      <c r="N13" t="s">
        <v>187</v>
      </c>
      <c r="O13" t="s">
        <v>17</v>
      </c>
      <c r="P13">
        <v>1.6640897755610999</v>
      </c>
      <c r="Q13">
        <v>401</v>
      </c>
    </row>
    <row r="14" spans="1:17" x14ac:dyDescent="0.45">
      <c r="A14">
        <v>13</v>
      </c>
      <c r="B14">
        <v>14</v>
      </c>
      <c r="C14">
        <v>59.8</v>
      </c>
      <c r="D14">
        <v>42</v>
      </c>
      <c r="E14" t="s">
        <v>78</v>
      </c>
      <c r="F14" t="s">
        <v>14</v>
      </c>
      <c r="G14" t="s">
        <v>185</v>
      </c>
      <c r="H14" t="s">
        <v>105</v>
      </c>
      <c r="I14" t="s">
        <v>57</v>
      </c>
      <c r="J14" t="s">
        <v>74</v>
      </c>
      <c r="K14" t="s">
        <v>186</v>
      </c>
      <c r="L14" t="s">
        <v>94</v>
      </c>
      <c r="M14" t="s">
        <v>17</v>
      </c>
      <c r="N14" t="s">
        <v>29</v>
      </c>
      <c r="O14" t="s">
        <v>191</v>
      </c>
      <c r="P14">
        <v>1.59230769230769</v>
      </c>
      <c r="Q14">
        <v>403</v>
      </c>
    </row>
    <row r="15" spans="1:17" x14ac:dyDescent="0.45">
      <c r="A15">
        <v>14</v>
      </c>
      <c r="B15">
        <v>15</v>
      </c>
      <c r="C15">
        <v>58.1</v>
      </c>
      <c r="D15">
        <v>32</v>
      </c>
      <c r="E15" t="s">
        <v>14</v>
      </c>
      <c r="F15" t="s">
        <v>185</v>
      </c>
      <c r="G15" t="s">
        <v>105</v>
      </c>
      <c r="H15" t="s">
        <v>41</v>
      </c>
      <c r="I15" t="s">
        <v>18</v>
      </c>
      <c r="J15" t="s">
        <v>47</v>
      </c>
      <c r="K15" t="s">
        <v>74</v>
      </c>
      <c r="L15" t="s">
        <v>188</v>
      </c>
      <c r="M15" t="s">
        <v>186</v>
      </c>
      <c r="N15" t="s">
        <v>94</v>
      </c>
      <c r="O15" t="s">
        <v>187</v>
      </c>
      <c r="P15">
        <v>1.5182716049382701</v>
      </c>
      <c r="Q15">
        <v>405</v>
      </c>
    </row>
    <row r="16" spans="1:17" x14ac:dyDescent="0.45">
      <c r="A16">
        <v>15</v>
      </c>
      <c r="B16">
        <v>16</v>
      </c>
      <c r="C16">
        <v>57.8</v>
      </c>
      <c r="D16">
        <v>44</v>
      </c>
      <c r="E16" t="s">
        <v>14</v>
      </c>
      <c r="F16" t="s">
        <v>185</v>
      </c>
      <c r="G16" t="s">
        <v>105</v>
      </c>
      <c r="H16" t="s">
        <v>41</v>
      </c>
      <c r="I16" t="s">
        <v>15</v>
      </c>
      <c r="J16" t="s">
        <v>74</v>
      </c>
      <c r="K16" t="s">
        <v>61</v>
      </c>
      <c r="L16" t="s">
        <v>188</v>
      </c>
      <c r="M16" t="s">
        <v>94</v>
      </c>
      <c r="N16" t="s">
        <v>187</v>
      </c>
      <c r="O16" t="s">
        <v>17</v>
      </c>
      <c r="P16">
        <v>1.5839901477832501</v>
      </c>
      <c r="Q16">
        <v>406</v>
      </c>
    </row>
    <row r="17" spans="1:17" x14ac:dyDescent="0.45">
      <c r="A17">
        <v>16</v>
      </c>
      <c r="B17">
        <v>17</v>
      </c>
      <c r="C17">
        <v>59.6</v>
      </c>
      <c r="D17">
        <v>51</v>
      </c>
      <c r="E17" t="s">
        <v>78</v>
      </c>
      <c r="F17" t="s">
        <v>14</v>
      </c>
      <c r="G17" t="s">
        <v>185</v>
      </c>
      <c r="H17" t="s">
        <v>105</v>
      </c>
      <c r="I17" t="s">
        <v>15</v>
      </c>
      <c r="J17" t="s">
        <v>188</v>
      </c>
      <c r="K17" t="s">
        <v>186</v>
      </c>
      <c r="L17" t="s">
        <v>94</v>
      </c>
      <c r="M17" t="s">
        <v>187</v>
      </c>
      <c r="N17" t="s">
        <v>191</v>
      </c>
      <c r="O17" t="s">
        <v>173</v>
      </c>
      <c r="P17">
        <v>1.52113022113022</v>
      </c>
      <c r="Q17">
        <v>407</v>
      </c>
    </row>
    <row r="18" spans="1:17" x14ac:dyDescent="0.45">
      <c r="A18">
        <v>17</v>
      </c>
      <c r="B18">
        <v>18</v>
      </c>
      <c r="C18">
        <v>57.6</v>
      </c>
      <c r="D18">
        <v>35</v>
      </c>
      <c r="E18" t="s">
        <v>14</v>
      </c>
      <c r="F18" t="s">
        <v>185</v>
      </c>
      <c r="G18" t="s">
        <v>105</v>
      </c>
      <c r="H18" t="s">
        <v>41</v>
      </c>
      <c r="I18" t="s">
        <v>15</v>
      </c>
      <c r="J18" t="s">
        <v>74</v>
      </c>
      <c r="K18" t="s">
        <v>188</v>
      </c>
      <c r="L18" t="s">
        <v>186</v>
      </c>
      <c r="M18" t="s">
        <v>94</v>
      </c>
      <c r="N18" t="s">
        <v>187</v>
      </c>
      <c r="O18" t="s">
        <v>17</v>
      </c>
      <c r="P18">
        <v>1.6171568627451001</v>
      </c>
      <c r="Q18">
        <v>408</v>
      </c>
    </row>
    <row r="19" spans="1:17" x14ac:dyDescent="0.45">
      <c r="A19">
        <v>18</v>
      </c>
      <c r="B19">
        <v>19</v>
      </c>
      <c r="C19">
        <v>58.1</v>
      </c>
      <c r="D19">
        <v>52</v>
      </c>
      <c r="E19" t="s">
        <v>14</v>
      </c>
      <c r="F19" t="s">
        <v>185</v>
      </c>
      <c r="G19" t="s">
        <v>105</v>
      </c>
      <c r="H19" t="s">
        <v>41</v>
      </c>
      <c r="I19" t="s">
        <v>15</v>
      </c>
      <c r="J19" t="s">
        <v>47</v>
      </c>
      <c r="K19" t="s">
        <v>74</v>
      </c>
      <c r="L19" t="s">
        <v>188</v>
      </c>
      <c r="M19" t="s">
        <v>186</v>
      </c>
      <c r="N19" t="s">
        <v>187</v>
      </c>
      <c r="O19" t="s">
        <v>17</v>
      </c>
      <c r="P19">
        <v>1.57935656836461</v>
      </c>
      <c r="Q19">
        <v>373</v>
      </c>
    </row>
    <row r="20" spans="1:17" x14ac:dyDescent="0.45">
      <c r="A20">
        <v>19</v>
      </c>
      <c r="B20">
        <v>20</v>
      </c>
      <c r="C20">
        <v>58.4</v>
      </c>
      <c r="D20">
        <v>30</v>
      </c>
      <c r="E20" t="s">
        <v>78</v>
      </c>
      <c r="F20" t="s">
        <v>14</v>
      </c>
      <c r="G20" t="s">
        <v>105</v>
      </c>
      <c r="H20" t="s">
        <v>15</v>
      </c>
      <c r="I20" t="s">
        <v>57</v>
      </c>
      <c r="J20" t="s">
        <v>47</v>
      </c>
      <c r="K20" t="s">
        <v>188</v>
      </c>
      <c r="L20" t="s">
        <v>29</v>
      </c>
      <c r="M20" t="s">
        <v>191</v>
      </c>
      <c r="N20" t="s">
        <v>190</v>
      </c>
      <c r="O20" t="s">
        <v>51</v>
      </c>
      <c r="P20">
        <v>1.6320987654321</v>
      </c>
      <c r="Q20">
        <v>324</v>
      </c>
    </row>
    <row r="21" spans="1:17" x14ac:dyDescent="0.45">
      <c r="A21">
        <v>20</v>
      </c>
      <c r="B21">
        <v>21</v>
      </c>
      <c r="C21">
        <v>60.4</v>
      </c>
      <c r="D21">
        <v>65</v>
      </c>
      <c r="E21" t="s">
        <v>78</v>
      </c>
      <c r="F21" t="s">
        <v>14</v>
      </c>
      <c r="G21" t="s">
        <v>185</v>
      </c>
      <c r="H21" t="s">
        <v>105</v>
      </c>
      <c r="I21" t="s">
        <v>57</v>
      </c>
      <c r="J21" t="s">
        <v>74</v>
      </c>
      <c r="K21" t="s">
        <v>188</v>
      </c>
      <c r="L21" t="s">
        <v>186</v>
      </c>
      <c r="M21" t="s">
        <v>187</v>
      </c>
      <c r="N21" t="s">
        <v>17</v>
      </c>
      <c r="O21" t="s">
        <v>191</v>
      </c>
      <c r="P21">
        <v>1.5182038834951499</v>
      </c>
      <c r="Q21">
        <v>412</v>
      </c>
    </row>
    <row r="22" spans="1:17" x14ac:dyDescent="0.45">
      <c r="A22">
        <v>21</v>
      </c>
      <c r="B22">
        <v>22</v>
      </c>
      <c r="C22">
        <v>59.5</v>
      </c>
      <c r="D22">
        <v>38</v>
      </c>
      <c r="E22" t="s">
        <v>78</v>
      </c>
      <c r="F22" t="s">
        <v>185</v>
      </c>
      <c r="G22" t="s">
        <v>105</v>
      </c>
      <c r="H22" t="s">
        <v>15</v>
      </c>
      <c r="I22" t="s">
        <v>57</v>
      </c>
      <c r="J22" t="s">
        <v>74</v>
      </c>
      <c r="K22" t="s">
        <v>188</v>
      </c>
      <c r="L22" t="s">
        <v>186</v>
      </c>
      <c r="M22" t="s">
        <v>187</v>
      </c>
      <c r="N22" t="s">
        <v>29</v>
      </c>
      <c r="O22" t="s">
        <v>191</v>
      </c>
      <c r="P22">
        <v>1.63242506811989</v>
      </c>
      <c r="Q22">
        <v>367</v>
      </c>
    </row>
    <row r="23" spans="1:17" x14ac:dyDescent="0.45">
      <c r="A23">
        <v>22</v>
      </c>
      <c r="B23">
        <v>23</v>
      </c>
      <c r="C23">
        <v>59.7</v>
      </c>
      <c r="D23">
        <v>48</v>
      </c>
      <c r="E23" t="s">
        <v>78</v>
      </c>
      <c r="F23" t="s">
        <v>14</v>
      </c>
      <c r="G23" t="s">
        <v>185</v>
      </c>
      <c r="H23" t="s">
        <v>105</v>
      </c>
      <c r="I23" t="s">
        <v>74</v>
      </c>
      <c r="J23" t="s">
        <v>192</v>
      </c>
      <c r="K23" t="s">
        <v>188</v>
      </c>
      <c r="L23" t="s">
        <v>94</v>
      </c>
      <c r="M23" t="s">
        <v>187</v>
      </c>
      <c r="N23" t="s">
        <v>29</v>
      </c>
      <c r="O23" t="s">
        <v>190</v>
      </c>
      <c r="P23">
        <v>1.33968253968254</v>
      </c>
      <c r="Q23">
        <v>378</v>
      </c>
    </row>
    <row r="24" spans="1:17" x14ac:dyDescent="0.45">
      <c r="A24">
        <v>23</v>
      </c>
      <c r="B24">
        <v>24</v>
      </c>
      <c r="C24">
        <v>57.9</v>
      </c>
      <c r="D24">
        <v>71</v>
      </c>
      <c r="E24" t="s">
        <v>14</v>
      </c>
      <c r="F24" t="s">
        <v>185</v>
      </c>
      <c r="G24" t="s">
        <v>105</v>
      </c>
      <c r="H24" t="s">
        <v>41</v>
      </c>
      <c r="I24" t="s">
        <v>15</v>
      </c>
      <c r="J24" t="s">
        <v>74</v>
      </c>
      <c r="K24" t="s">
        <v>61</v>
      </c>
      <c r="L24" t="s">
        <v>188</v>
      </c>
      <c r="M24" t="s">
        <v>186</v>
      </c>
      <c r="N24" t="s">
        <v>94</v>
      </c>
      <c r="O24" t="s">
        <v>187</v>
      </c>
      <c r="P24">
        <v>1.4723970944309901</v>
      </c>
      <c r="Q24">
        <v>413</v>
      </c>
    </row>
    <row r="25" spans="1:17" x14ac:dyDescent="0.45">
      <c r="A25">
        <v>24</v>
      </c>
      <c r="B25">
        <v>25</v>
      </c>
      <c r="C25">
        <v>54.6</v>
      </c>
      <c r="D25">
        <v>26</v>
      </c>
      <c r="E25" t="s">
        <v>185</v>
      </c>
      <c r="F25" t="s">
        <v>105</v>
      </c>
      <c r="G25" t="s">
        <v>41</v>
      </c>
      <c r="H25" t="s">
        <v>57</v>
      </c>
      <c r="I25" t="s">
        <v>61</v>
      </c>
      <c r="J25" t="s">
        <v>188</v>
      </c>
      <c r="K25" t="s">
        <v>186</v>
      </c>
      <c r="L25" t="s">
        <v>187</v>
      </c>
      <c r="M25" t="s">
        <v>17</v>
      </c>
      <c r="N25" t="s">
        <v>190</v>
      </c>
      <c r="O25" t="s">
        <v>193</v>
      </c>
      <c r="P25">
        <v>1.62777777777778</v>
      </c>
      <c r="Q25">
        <v>234</v>
      </c>
    </row>
    <row r="26" spans="1:17" x14ac:dyDescent="0.45">
      <c r="A26">
        <v>25</v>
      </c>
      <c r="B26">
        <v>26</v>
      </c>
      <c r="C26">
        <v>60.4</v>
      </c>
      <c r="D26">
        <v>66</v>
      </c>
      <c r="E26" t="s">
        <v>78</v>
      </c>
      <c r="F26" t="s">
        <v>14</v>
      </c>
      <c r="G26" t="s">
        <v>185</v>
      </c>
      <c r="H26" t="s">
        <v>105</v>
      </c>
      <c r="I26" t="s">
        <v>57</v>
      </c>
      <c r="J26" t="s">
        <v>74</v>
      </c>
      <c r="K26" t="s">
        <v>188</v>
      </c>
      <c r="L26" t="s">
        <v>186</v>
      </c>
      <c r="M26" t="s">
        <v>187</v>
      </c>
      <c r="N26" t="s">
        <v>17</v>
      </c>
      <c r="O26" t="s">
        <v>191</v>
      </c>
      <c r="P26">
        <v>1.6036319612590799</v>
      </c>
      <c r="Q26">
        <v>413</v>
      </c>
    </row>
    <row r="27" spans="1:17" x14ac:dyDescent="0.45">
      <c r="A27">
        <v>26</v>
      </c>
      <c r="B27">
        <v>27</v>
      </c>
      <c r="C27">
        <v>60.4</v>
      </c>
      <c r="D27">
        <v>15</v>
      </c>
      <c r="E27" t="s">
        <v>78</v>
      </c>
      <c r="F27" t="s">
        <v>14</v>
      </c>
      <c r="G27" t="s">
        <v>185</v>
      </c>
      <c r="H27" t="s">
        <v>105</v>
      </c>
      <c r="I27" t="s">
        <v>57</v>
      </c>
      <c r="J27" t="s">
        <v>74</v>
      </c>
      <c r="K27" t="s">
        <v>188</v>
      </c>
      <c r="L27" t="s">
        <v>186</v>
      </c>
      <c r="M27" t="s">
        <v>187</v>
      </c>
      <c r="N27" t="s">
        <v>17</v>
      </c>
      <c r="O27" t="s">
        <v>191</v>
      </c>
      <c r="P27">
        <v>1.56388888888889</v>
      </c>
      <c r="Q27">
        <v>324</v>
      </c>
    </row>
    <row r="28" spans="1:17" x14ac:dyDescent="0.45">
      <c r="A28">
        <v>27</v>
      </c>
      <c r="B28">
        <v>28</v>
      </c>
      <c r="C28">
        <v>53.3</v>
      </c>
      <c r="D28">
        <v>44</v>
      </c>
      <c r="E28" t="s">
        <v>185</v>
      </c>
      <c r="F28" t="s">
        <v>41</v>
      </c>
      <c r="G28" t="s">
        <v>57</v>
      </c>
      <c r="H28" t="s">
        <v>47</v>
      </c>
      <c r="I28" t="s">
        <v>61</v>
      </c>
      <c r="J28" t="s">
        <v>188</v>
      </c>
      <c r="K28" t="s">
        <v>187</v>
      </c>
      <c r="L28" t="s">
        <v>29</v>
      </c>
      <c r="M28" t="s">
        <v>194</v>
      </c>
      <c r="N28" t="s">
        <v>173</v>
      </c>
      <c r="O28" t="s">
        <v>51</v>
      </c>
      <c r="P28">
        <v>1.45394736842105</v>
      </c>
      <c r="Q28">
        <v>304</v>
      </c>
    </row>
    <row r="29" spans="1:17" x14ac:dyDescent="0.45">
      <c r="A29">
        <v>28</v>
      </c>
      <c r="B29">
        <v>29</v>
      </c>
      <c r="C29">
        <v>53.1</v>
      </c>
      <c r="D29">
        <v>41</v>
      </c>
      <c r="E29" t="s">
        <v>185</v>
      </c>
      <c r="F29" t="s">
        <v>25</v>
      </c>
      <c r="G29" t="s">
        <v>41</v>
      </c>
      <c r="H29" t="s">
        <v>47</v>
      </c>
      <c r="I29" t="s">
        <v>186</v>
      </c>
      <c r="J29" t="s">
        <v>94</v>
      </c>
      <c r="K29" t="s">
        <v>187</v>
      </c>
      <c r="L29" t="s">
        <v>17</v>
      </c>
      <c r="M29" t="s">
        <v>29</v>
      </c>
      <c r="N29" t="s">
        <v>195</v>
      </c>
      <c r="O29" t="s">
        <v>196</v>
      </c>
      <c r="P29">
        <v>1.5064516129032299</v>
      </c>
      <c r="Q29">
        <v>155</v>
      </c>
    </row>
    <row r="30" spans="1:17" x14ac:dyDescent="0.45">
      <c r="A30">
        <v>29</v>
      </c>
      <c r="B30">
        <v>30</v>
      </c>
      <c r="C30">
        <v>60</v>
      </c>
      <c r="D30">
        <v>32</v>
      </c>
      <c r="E30" t="s">
        <v>78</v>
      </c>
      <c r="F30" t="s">
        <v>14</v>
      </c>
      <c r="G30" t="s">
        <v>185</v>
      </c>
      <c r="H30" t="s">
        <v>105</v>
      </c>
      <c r="I30" t="s">
        <v>74</v>
      </c>
      <c r="J30" t="s">
        <v>192</v>
      </c>
      <c r="K30" t="s">
        <v>61</v>
      </c>
      <c r="L30" t="s">
        <v>94</v>
      </c>
      <c r="M30" t="s">
        <v>187</v>
      </c>
      <c r="N30" t="s">
        <v>17</v>
      </c>
      <c r="O30" t="s">
        <v>51</v>
      </c>
      <c r="P30">
        <v>1.51452784503632</v>
      </c>
      <c r="Q30">
        <v>413</v>
      </c>
    </row>
    <row r="31" spans="1:17" x14ac:dyDescent="0.45">
      <c r="A31">
        <v>30</v>
      </c>
      <c r="B31">
        <v>31</v>
      </c>
      <c r="C31">
        <v>57.8</v>
      </c>
      <c r="D31">
        <v>36</v>
      </c>
      <c r="E31" t="s">
        <v>14</v>
      </c>
      <c r="F31" t="s">
        <v>185</v>
      </c>
      <c r="G31" t="s">
        <v>105</v>
      </c>
      <c r="H31" t="s">
        <v>15</v>
      </c>
      <c r="I31" t="s">
        <v>47</v>
      </c>
      <c r="J31" t="s">
        <v>74</v>
      </c>
      <c r="K31" t="s">
        <v>192</v>
      </c>
      <c r="L31" t="s">
        <v>61</v>
      </c>
      <c r="M31" t="s">
        <v>188</v>
      </c>
      <c r="N31" t="s">
        <v>186</v>
      </c>
      <c r="O31" t="s">
        <v>187</v>
      </c>
      <c r="P31">
        <v>1.48111380145278</v>
      </c>
      <c r="Q31">
        <v>413</v>
      </c>
    </row>
    <row r="32" spans="1:17" x14ac:dyDescent="0.45">
      <c r="A32">
        <v>31</v>
      </c>
      <c r="B32">
        <v>32</v>
      </c>
      <c r="C32">
        <v>60</v>
      </c>
      <c r="D32">
        <v>38</v>
      </c>
      <c r="E32" t="s">
        <v>78</v>
      </c>
      <c r="F32" t="s">
        <v>14</v>
      </c>
      <c r="G32" t="s">
        <v>185</v>
      </c>
      <c r="H32" t="s">
        <v>105</v>
      </c>
      <c r="I32" t="s">
        <v>41</v>
      </c>
      <c r="J32" t="s">
        <v>74</v>
      </c>
      <c r="K32" t="s">
        <v>188</v>
      </c>
      <c r="L32" t="s">
        <v>187</v>
      </c>
      <c r="M32" t="s">
        <v>24</v>
      </c>
      <c r="N32" t="s">
        <v>29</v>
      </c>
      <c r="O32" t="s">
        <v>173</v>
      </c>
      <c r="P32">
        <v>1.46738461538462</v>
      </c>
      <c r="Q32">
        <v>325</v>
      </c>
    </row>
    <row r="33" spans="1:17" x14ac:dyDescent="0.45">
      <c r="A33">
        <v>32</v>
      </c>
      <c r="B33">
        <v>33</v>
      </c>
      <c r="C33">
        <v>58.2</v>
      </c>
      <c r="D33">
        <v>35</v>
      </c>
      <c r="E33" t="s">
        <v>14</v>
      </c>
      <c r="F33" t="s">
        <v>185</v>
      </c>
      <c r="G33" t="s">
        <v>105</v>
      </c>
      <c r="H33" t="s">
        <v>41</v>
      </c>
      <c r="I33" t="s">
        <v>18</v>
      </c>
      <c r="J33" t="s">
        <v>57</v>
      </c>
      <c r="K33" t="s">
        <v>74</v>
      </c>
      <c r="L33" t="s">
        <v>61</v>
      </c>
      <c r="M33" t="s">
        <v>186</v>
      </c>
      <c r="N33" t="s">
        <v>94</v>
      </c>
      <c r="O33" t="s">
        <v>187</v>
      </c>
      <c r="P33">
        <v>1.45903614457831</v>
      </c>
      <c r="Q33">
        <v>415</v>
      </c>
    </row>
    <row r="34" spans="1:17" x14ac:dyDescent="0.45">
      <c r="A34">
        <v>33</v>
      </c>
      <c r="B34">
        <v>34</v>
      </c>
      <c r="C34">
        <v>53.3</v>
      </c>
      <c r="D34">
        <v>18</v>
      </c>
      <c r="E34" t="s">
        <v>185</v>
      </c>
      <c r="F34" t="s">
        <v>41</v>
      </c>
      <c r="G34" t="s">
        <v>57</v>
      </c>
      <c r="H34" t="s">
        <v>47</v>
      </c>
      <c r="I34" t="s">
        <v>61</v>
      </c>
      <c r="J34" t="s">
        <v>188</v>
      </c>
      <c r="K34" t="s">
        <v>187</v>
      </c>
      <c r="L34" t="s">
        <v>29</v>
      </c>
      <c r="M34" t="s">
        <v>194</v>
      </c>
      <c r="N34" t="s">
        <v>173</v>
      </c>
      <c r="O34" t="s">
        <v>51</v>
      </c>
      <c r="P34">
        <v>1.4287581699346401</v>
      </c>
      <c r="Q34">
        <v>306</v>
      </c>
    </row>
    <row r="35" spans="1:17" x14ac:dyDescent="0.45">
      <c r="A35">
        <v>34</v>
      </c>
      <c r="B35">
        <v>35</v>
      </c>
      <c r="C35">
        <v>58.2</v>
      </c>
      <c r="D35">
        <v>55</v>
      </c>
      <c r="E35" t="s">
        <v>14</v>
      </c>
      <c r="F35" t="s">
        <v>185</v>
      </c>
      <c r="G35" t="s">
        <v>105</v>
      </c>
      <c r="H35" t="s">
        <v>41</v>
      </c>
      <c r="I35" t="s">
        <v>15</v>
      </c>
      <c r="J35" t="s">
        <v>47</v>
      </c>
      <c r="K35" t="s">
        <v>74</v>
      </c>
      <c r="L35" t="s">
        <v>188</v>
      </c>
      <c r="M35" t="s">
        <v>186</v>
      </c>
      <c r="N35" t="s">
        <v>94</v>
      </c>
      <c r="O35" t="s">
        <v>187</v>
      </c>
      <c r="P35">
        <v>1.5530120481927701</v>
      </c>
      <c r="Q35">
        <v>415</v>
      </c>
    </row>
    <row r="36" spans="1:17" x14ac:dyDescent="0.45">
      <c r="A36">
        <v>35</v>
      </c>
      <c r="B36">
        <v>36</v>
      </c>
      <c r="C36">
        <v>58.1</v>
      </c>
      <c r="D36">
        <v>61</v>
      </c>
      <c r="E36" t="s">
        <v>14</v>
      </c>
      <c r="F36" t="s">
        <v>185</v>
      </c>
      <c r="G36" t="s">
        <v>105</v>
      </c>
      <c r="H36" t="s">
        <v>41</v>
      </c>
      <c r="I36" t="s">
        <v>18</v>
      </c>
      <c r="J36" t="s">
        <v>47</v>
      </c>
      <c r="K36" t="s">
        <v>74</v>
      </c>
      <c r="L36" t="s">
        <v>188</v>
      </c>
      <c r="M36" t="s">
        <v>186</v>
      </c>
      <c r="N36" t="s">
        <v>94</v>
      </c>
      <c r="O36" t="s">
        <v>187</v>
      </c>
      <c r="P36">
        <v>1.6170270270270299</v>
      </c>
      <c r="Q36">
        <v>370</v>
      </c>
    </row>
    <row r="37" spans="1:17" x14ac:dyDescent="0.45">
      <c r="A37">
        <v>36</v>
      </c>
      <c r="B37">
        <v>37</v>
      </c>
      <c r="C37">
        <v>60</v>
      </c>
      <c r="D37">
        <v>40</v>
      </c>
      <c r="E37" t="s">
        <v>78</v>
      </c>
      <c r="F37" t="s">
        <v>14</v>
      </c>
      <c r="G37" t="s">
        <v>185</v>
      </c>
      <c r="H37" t="s">
        <v>105</v>
      </c>
      <c r="I37" t="s">
        <v>41</v>
      </c>
      <c r="J37" t="s">
        <v>74</v>
      </c>
      <c r="K37" t="s">
        <v>188</v>
      </c>
      <c r="L37" t="s">
        <v>187</v>
      </c>
      <c r="M37" t="s">
        <v>24</v>
      </c>
      <c r="N37" t="s">
        <v>29</v>
      </c>
      <c r="O37" t="s">
        <v>51</v>
      </c>
      <c r="P37">
        <v>1.4594512195122</v>
      </c>
      <c r="Q37">
        <v>328</v>
      </c>
    </row>
    <row r="38" spans="1:17" x14ac:dyDescent="0.45">
      <c r="A38">
        <v>37</v>
      </c>
      <c r="B38">
        <v>38</v>
      </c>
      <c r="C38">
        <v>59.2</v>
      </c>
      <c r="D38">
        <v>24</v>
      </c>
      <c r="E38" t="s">
        <v>78</v>
      </c>
      <c r="F38" t="s">
        <v>185</v>
      </c>
      <c r="G38" t="s">
        <v>105</v>
      </c>
      <c r="H38" t="s">
        <v>15</v>
      </c>
      <c r="I38" t="s">
        <v>57</v>
      </c>
      <c r="J38" t="s">
        <v>74</v>
      </c>
      <c r="K38" t="s">
        <v>186</v>
      </c>
      <c r="L38" t="s">
        <v>187</v>
      </c>
      <c r="M38" t="s">
        <v>17</v>
      </c>
      <c r="N38" t="s">
        <v>29</v>
      </c>
      <c r="O38" t="s">
        <v>191</v>
      </c>
      <c r="P38">
        <v>1.5327751196172299</v>
      </c>
      <c r="Q38">
        <v>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C558-FC8F-4AD6-8BD3-A87E4C4EEB75}">
  <dimension ref="A1:P41"/>
  <sheetViews>
    <sheetView showGridLines="0" tabSelected="1" workbookViewId="0">
      <selection activeCell="O8" activeCellId="1" sqref="O7 O8"/>
    </sheetView>
  </sheetViews>
  <sheetFormatPr defaultRowHeight="14.25" x14ac:dyDescent="0.45"/>
  <cols>
    <col min="3" max="3" width="7.33203125" bestFit="1" customWidth="1"/>
    <col min="4" max="4" width="11.6640625" bestFit="1" customWidth="1"/>
    <col min="5" max="5" width="4.53125" bestFit="1" customWidth="1"/>
    <col min="6" max="6" width="4.86328125" bestFit="1" customWidth="1"/>
    <col min="8" max="8" width="11.6640625" bestFit="1" customWidth="1"/>
    <col min="9" max="9" width="4.53125" bestFit="1" customWidth="1"/>
    <col min="10" max="10" width="4.796875" bestFit="1" customWidth="1"/>
    <col min="11" max="11" width="7.33203125" bestFit="1" customWidth="1"/>
    <col min="12" max="12" width="11.6640625" bestFit="1" customWidth="1"/>
    <col min="13" max="13" width="6.9296875" bestFit="1" customWidth="1"/>
    <col min="14" max="14" width="5.265625" bestFit="1" customWidth="1"/>
    <col min="15" max="15" width="10.53125" bestFit="1" customWidth="1"/>
  </cols>
  <sheetData>
    <row r="1" spans="1:16" x14ac:dyDescent="0.45">
      <c r="B1" s="5"/>
      <c r="C1" s="19" t="s">
        <v>178</v>
      </c>
      <c r="D1" s="19"/>
      <c r="E1" s="19"/>
      <c r="F1" s="20"/>
      <c r="G1" s="23" t="s">
        <v>179</v>
      </c>
      <c r="H1" s="19"/>
      <c r="I1" s="19"/>
      <c r="J1" s="20"/>
      <c r="K1" s="23" t="s">
        <v>197</v>
      </c>
      <c r="L1" s="19"/>
      <c r="M1" s="19"/>
      <c r="N1" s="20"/>
      <c r="O1" s="19" t="s">
        <v>174</v>
      </c>
      <c r="P1" s="20"/>
    </row>
    <row r="2" spans="1:16" ht="14.65" thickBot="1" x14ac:dyDescent="0.5">
      <c r="A2" s="1" t="s">
        <v>177</v>
      </c>
      <c r="B2" s="6" t="s">
        <v>0</v>
      </c>
      <c r="C2" s="1" t="s">
        <v>1</v>
      </c>
      <c r="D2" s="1" t="s">
        <v>2</v>
      </c>
      <c r="E2" s="1" t="s">
        <v>184</v>
      </c>
      <c r="F2" s="6" t="s">
        <v>181</v>
      </c>
      <c r="G2" s="10" t="s">
        <v>1</v>
      </c>
      <c r="H2" s="1" t="s">
        <v>2</v>
      </c>
      <c r="I2" s="1" t="s">
        <v>184</v>
      </c>
      <c r="J2" s="6" t="s">
        <v>181</v>
      </c>
      <c r="K2" s="10" t="s">
        <v>1</v>
      </c>
      <c r="L2" s="1" t="s">
        <v>2</v>
      </c>
      <c r="M2" s="1" t="s">
        <v>184</v>
      </c>
      <c r="N2" s="6" t="s">
        <v>181</v>
      </c>
      <c r="O2" s="1" t="s">
        <v>175</v>
      </c>
      <c r="P2" s="1" t="s">
        <v>176</v>
      </c>
    </row>
    <row r="3" spans="1:16" x14ac:dyDescent="0.45">
      <c r="A3" s="16">
        <v>1</v>
      </c>
      <c r="B3" s="17">
        <v>1</v>
      </c>
      <c r="C3" s="3">
        <v>50.4</v>
      </c>
      <c r="D3" s="3">
        <v>54</v>
      </c>
      <c r="E3" s="3">
        <f>xP!P2</f>
        <v>1.4486910994764399</v>
      </c>
      <c r="F3" s="8">
        <f>C3-D3</f>
        <v>-3.6000000000000014</v>
      </c>
      <c r="G3" s="12">
        <v>50.4</v>
      </c>
      <c r="H3" s="3">
        <v>54</v>
      </c>
      <c r="I3" s="3">
        <f>xPMin!P2</f>
        <v>1.4486910994764399</v>
      </c>
      <c r="J3" s="8">
        <f>G3-H3</f>
        <v>-3.6000000000000014</v>
      </c>
      <c r="K3">
        <v>57.1</v>
      </c>
      <c r="L3">
        <v>49</v>
      </c>
      <c r="M3">
        <v>1.4319480519480501</v>
      </c>
      <c r="N3" s="8">
        <f t="shared" ref="N3:N39" si="0">K3-L3</f>
        <v>8.1000000000000014</v>
      </c>
      <c r="O3" s="3">
        <f>H3-D3</f>
        <v>0</v>
      </c>
      <c r="P3" s="3">
        <f>G3-C3</f>
        <v>0</v>
      </c>
    </row>
    <row r="4" spans="1:16" x14ac:dyDescent="0.45">
      <c r="A4" s="16">
        <v>2</v>
      </c>
      <c r="B4" s="17">
        <v>2</v>
      </c>
      <c r="C4" s="3">
        <v>117</v>
      </c>
      <c r="D4" s="3">
        <v>125</v>
      </c>
      <c r="E4" s="3">
        <f>xP!P3</f>
        <v>0.93253012048192796</v>
      </c>
      <c r="F4" s="8">
        <f t="shared" ref="F4:F39" si="1">C4-D4</f>
        <v>-8</v>
      </c>
      <c r="G4" s="12">
        <v>117</v>
      </c>
      <c r="H4" s="3">
        <v>125</v>
      </c>
      <c r="I4" s="3">
        <f>xPMin!P3</f>
        <v>0.93253012048192796</v>
      </c>
      <c r="J4" s="8">
        <f t="shared" ref="J4:J39" si="2">G4-H4</f>
        <v>-8</v>
      </c>
      <c r="K4">
        <v>57.2</v>
      </c>
      <c r="L4">
        <v>34</v>
      </c>
      <c r="M4">
        <v>1.6282383419689099</v>
      </c>
      <c r="N4" s="24">
        <f t="shared" si="0"/>
        <v>23.200000000000003</v>
      </c>
      <c r="O4" s="3">
        <f t="shared" ref="O4:O39" si="3">H4-D4</f>
        <v>0</v>
      </c>
      <c r="P4" s="3">
        <f t="shared" ref="P4:P39" si="4">G4-C4</f>
        <v>0</v>
      </c>
    </row>
    <row r="5" spans="1:16" x14ac:dyDescent="0.45">
      <c r="A5" s="16">
        <v>3</v>
      </c>
      <c r="B5" s="17">
        <v>3</v>
      </c>
      <c r="C5" s="3">
        <v>101.8</v>
      </c>
      <c r="D5" s="3">
        <v>99</v>
      </c>
      <c r="E5" s="3">
        <f>xP!P4</f>
        <v>1.0194256756756801</v>
      </c>
      <c r="F5" s="8">
        <f t="shared" si="1"/>
        <v>2.7999999999999972</v>
      </c>
      <c r="G5" s="12">
        <v>101.8</v>
      </c>
      <c r="H5" s="3">
        <v>99</v>
      </c>
      <c r="I5" s="3">
        <f>xPMin!P4</f>
        <v>1.0194256756756801</v>
      </c>
      <c r="J5" s="8">
        <f t="shared" si="2"/>
        <v>2.7999999999999972</v>
      </c>
      <c r="K5">
        <v>57.3</v>
      </c>
      <c r="L5">
        <v>35</v>
      </c>
      <c r="M5">
        <v>1.56855670103093</v>
      </c>
      <c r="N5" s="24">
        <f t="shared" si="0"/>
        <v>22.299999999999997</v>
      </c>
      <c r="O5" s="3">
        <f t="shared" si="3"/>
        <v>0</v>
      </c>
      <c r="P5" s="3">
        <f t="shared" si="4"/>
        <v>0</v>
      </c>
    </row>
    <row r="6" spans="1:16" x14ac:dyDescent="0.45">
      <c r="A6" s="16">
        <v>4</v>
      </c>
      <c r="B6" s="17">
        <v>4</v>
      </c>
      <c r="C6" s="3">
        <v>101.5</v>
      </c>
      <c r="D6" s="3">
        <v>133</v>
      </c>
      <c r="E6" s="3">
        <f>xP!P5</f>
        <v>1.0387687188020001</v>
      </c>
      <c r="F6" s="8">
        <f t="shared" si="1"/>
        <v>-31.5</v>
      </c>
      <c r="G6" s="12">
        <v>101.5</v>
      </c>
      <c r="H6" s="3">
        <v>133</v>
      </c>
      <c r="I6" s="3">
        <f>xPMin!P5</f>
        <v>1.0387687188020001</v>
      </c>
      <c r="J6" s="8">
        <f t="shared" si="2"/>
        <v>-31.5</v>
      </c>
      <c r="K6">
        <v>57.6</v>
      </c>
      <c r="L6">
        <v>80</v>
      </c>
      <c r="M6">
        <v>1.4402564102564099</v>
      </c>
      <c r="N6" s="24">
        <f t="shared" si="0"/>
        <v>-22.4</v>
      </c>
      <c r="O6" s="3">
        <f t="shared" si="3"/>
        <v>0</v>
      </c>
      <c r="P6" s="3">
        <f t="shared" si="4"/>
        <v>0</v>
      </c>
    </row>
    <row r="7" spans="1:16" x14ac:dyDescent="0.45">
      <c r="A7" s="14">
        <v>5</v>
      </c>
      <c r="B7" s="15">
        <v>5</v>
      </c>
      <c r="C7" s="2">
        <v>96.6</v>
      </c>
      <c r="D7" s="2">
        <v>85</v>
      </c>
      <c r="E7" s="2">
        <f>xP!P6</f>
        <v>1.0182565789473701</v>
      </c>
      <c r="F7" s="7">
        <f t="shared" si="1"/>
        <v>11.599999999999994</v>
      </c>
      <c r="G7" s="11">
        <v>89.254872501211494</v>
      </c>
      <c r="H7" s="2">
        <v>92</v>
      </c>
      <c r="I7" s="2">
        <f>xPMin!P6</f>
        <v>0.87089153834803301</v>
      </c>
      <c r="J7" s="7">
        <f t="shared" si="2"/>
        <v>-2.7451274987885057</v>
      </c>
      <c r="K7">
        <v>59.6</v>
      </c>
      <c r="L7">
        <v>41</v>
      </c>
      <c r="M7">
        <v>1.3272959183673501</v>
      </c>
      <c r="N7" s="25">
        <f t="shared" si="0"/>
        <v>18.600000000000001</v>
      </c>
      <c r="O7" s="2">
        <f t="shared" si="3"/>
        <v>7</v>
      </c>
      <c r="P7" s="2">
        <f t="shared" si="4"/>
        <v>-7.3451274987885</v>
      </c>
    </row>
    <row r="8" spans="1:16" x14ac:dyDescent="0.45">
      <c r="A8" s="14">
        <v>6</v>
      </c>
      <c r="B8" s="15">
        <v>6</v>
      </c>
      <c r="C8" s="2">
        <v>93.3</v>
      </c>
      <c r="D8" s="2">
        <v>84</v>
      </c>
      <c r="E8" s="2">
        <f>xP!P7</f>
        <v>1.06987179487179</v>
      </c>
      <c r="F8" s="7">
        <f t="shared" si="1"/>
        <v>9.2999999999999972</v>
      </c>
      <c r="G8" s="11">
        <v>85.910549551602102</v>
      </c>
      <c r="H8" s="2">
        <v>108</v>
      </c>
      <c r="I8" s="2">
        <f>xPMin!P7</f>
        <v>0.95572251722245205</v>
      </c>
      <c r="J8" s="7">
        <f t="shared" si="2"/>
        <v>-22.089450448397898</v>
      </c>
      <c r="K8">
        <v>57.4</v>
      </c>
      <c r="L8">
        <v>39</v>
      </c>
      <c r="M8">
        <v>1.59113924050633</v>
      </c>
      <c r="N8" s="25">
        <f t="shared" si="0"/>
        <v>18.399999999999999</v>
      </c>
      <c r="O8" s="2">
        <f t="shared" si="3"/>
        <v>24</v>
      </c>
      <c r="P8" s="2">
        <f t="shared" si="4"/>
        <v>-7.3894504483978949</v>
      </c>
    </row>
    <row r="9" spans="1:16" x14ac:dyDescent="0.45">
      <c r="A9" s="14">
        <v>7</v>
      </c>
      <c r="B9" s="15">
        <v>8</v>
      </c>
      <c r="C9" s="2">
        <v>89.8</v>
      </c>
      <c r="D9" s="2">
        <v>81</v>
      </c>
      <c r="E9" s="2">
        <f>xP!P8</f>
        <v>0.94636363636363596</v>
      </c>
      <c r="F9" s="7">
        <f t="shared" si="1"/>
        <v>8.7999999999999972</v>
      </c>
      <c r="G9" s="11">
        <v>81.914582991636905</v>
      </c>
      <c r="H9" s="2">
        <v>74</v>
      </c>
      <c r="I9" s="2">
        <f>xPMin!P8</f>
        <v>0.88402171646738903</v>
      </c>
      <c r="J9" s="7">
        <f t="shared" si="2"/>
        <v>7.9145829916369053</v>
      </c>
      <c r="K9">
        <v>55.3</v>
      </c>
      <c r="L9">
        <v>52</v>
      </c>
      <c r="M9">
        <v>1.4750000000000001</v>
      </c>
      <c r="N9" s="25">
        <f t="shared" si="0"/>
        <v>3.2999999999999972</v>
      </c>
      <c r="O9" s="2">
        <f t="shared" si="3"/>
        <v>-7</v>
      </c>
      <c r="P9" s="2">
        <f t="shared" si="4"/>
        <v>-7.8854170083630919</v>
      </c>
    </row>
    <row r="10" spans="1:16" x14ac:dyDescent="0.45">
      <c r="A10" s="14">
        <v>8</v>
      </c>
      <c r="B10" s="15">
        <v>9</v>
      </c>
      <c r="C10" s="2">
        <v>135</v>
      </c>
      <c r="D10" s="2">
        <v>160</v>
      </c>
      <c r="E10" s="2">
        <f>xP!P9</f>
        <v>0.73761755485893399</v>
      </c>
      <c r="F10" s="7">
        <f t="shared" si="1"/>
        <v>-25</v>
      </c>
      <c r="G10" s="11">
        <v>122.719675312967</v>
      </c>
      <c r="H10" s="2">
        <v>173</v>
      </c>
      <c r="I10" s="2">
        <f>xPMin!P9</f>
        <v>0.80849142694078402</v>
      </c>
      <c r="J10" s="7">
        <f t="shared" si="2"/>
        <v>-50.280324687033001</v>
      </c>
      <c r="K10">
        <v>58.2</v>
      </c>
      <c r="L10">
        <v>48</v>
      </c>
      <c r="M10">
        <v>1.5902499999999999</v>
      </c>
      <c r="N10" s="25">
        <f t="shared" si="0"/>
        <v>10.200000000000003</v>
      </c>
      <c r="O10" s="2">
        <f t="shared" si="3"/>
        <v>13</v>
      </c>
      <c r="P10" s="2">
        <f t="shared" si="4"/>
        <v>-12.280324687033001</v>
      </c>
    </row>
    <row r="11" spans="1:16" x14ac:dyDescent="0.45">
      <c r="A11" s="14">
        <v>9</v>
      </c>
      <c r="B11" s="15">
        <v>10</v>
      </c>
      <c r="C11" s="2">
        <v>118.3</v>
      </c>
      <c r="D11" s="2">
        <v>83</v>
      </c>
      <c r="E11" s="2">
        <f>xP!P10</f>
        <v>0.84087363494539802</v>
      </c>
      <c r="F11" s="7">
        <f t="shared" si="1"/>
        <v>35.299999999999997</v>
      </c>
      <c r="G11" s="11">
        <v>108.175630601714</v>
      </c>
      <c r="H11" s="2">
        <v>92</v>
      </c>
      <c r="I11" s="2">
        <f>xPMin!P10</f>
        <v>0.86818782605880296</v>
      </c>
      <c r="J11" s="7">
        <f t="shared" si="2"/>
        <v>16.175630601714005</v>
      </c>
      <c r="K11">
        <v>59.8</v>
      </c>
      <c r="L11">
        <v>67</v>
      </c>
      <c r="M11">
        <v>1.42269326683292</v>
      </c>
      <c r="N11" s="25">
        <f t="shared" si="0"/>
        <v>-7.2000000000000028</v>
      </c>
      <c r="O11" s="2">
        <f t="shared" si="3"/>
        <v>9</v>
      </c>
      <c r="P11" s="2">
        <f t="shared" si="4"/>
        <v>-10.124369398285992</v>
      </c>
    </row>
    <row r="12" spans="1:16" x14ac:dyDescent="0.45">
      <c r="A12" s="14">
        <v>10</v>
      </c>
      <c r="B12" s="15">
        <v>11</v>
      </c>
      <c r="C12" s="2">
        <v>97.8</v>
      </c>
      <c r="D12" s="2">
        <v>62</v>
      </c>
      <c r="E12" s="2">
        <f>xP!P11</f>
        <v>0.91181959564541204</v>
      </c>
      <c r="F12" s="7">
        <f t="shared" si="1"/>
        <v>35.799999999999997</v>
      </c>
      <c r="G12" s="11">
        <v>92.151086382184602</v>
      </c>
      <c r="H12" s="2">
        <v>69</v>
      </c>
      <c r="I12" s="2">
        <f>xPMin!P11</f>
        <v>0.89220621265546096</v>
      </c>
      <c r="J12" s="7">
        <f t="shared" si="2"/>
        <v>23.151086382184602</v>
      </c>
      <c r="K12">
        <v>58.1</v>
      </c>
      <c r="L12">
        <v>46</v>
      </c>
      <c r="M12">
        <v>1.5369077306733201</v>
      </c>
      <c r="N12" s="25">
        <f t="shared" si="0"/>
        <v>12.100000000000001</v>
      </c>
      <c r="O12" s="2">
        <f t="shared" si="3"/>
        <v>7</v>
      </c>
      <c r="P12" s="2">
        <f t="shared" si="4"/>
        <v>-5.6489136178153956</v>
      </c>
    </row>
    <row r="13" spans="1:16" hidden="1" x14ac:dyDescent="0.45">
      <c r="A13" s="16">
        <v>11</v>
      </c>
      <c r="B13" s="17">
        <v>12</v>
      </c>
      <c r="C13" s="3">
        <v>0</v>
      </c>
      <c r="D13" s="3">
        <v>3</v>
      </c>
      <c r="E13" s="3">
        <f>xP!P12</f>
        <v>1.39316239316239</v>
      </c>
      <c r="F13" s="8">
        <f t="shared" si="1"/>
        <v>-3</v>
      </c>
      <c r="G13" s="12">
        <v>0</v>
      </c>
      <c r="H13" s="3">
        <v>3</v>
      </c>
      <c r="I13" s="3">
        <f>xPMin!P12</f>
        <v>1.39316239316239</v>
      </c>
      <c r="J13" s="8">
        <f t="shared" si="2"/>
        <v>-3</v>
      </c>
      <c r="K13">
        <v>57.6</v>
      </c>
      <c r="L13">
        <v>47</v>
      </c>
      <c r="M13">
        <v>1.6410326086956499</v>
      </c>
      <c r="N13" s="24">
        <f t="shared" si="0"/>
        <v>10.600000000000001</v>
      </c>
      <c r="O13" s="3">
        <f t="shared" si="3"/>
        <v>0</v>
      </c>
      <c r="P13" s="3">
        <f t="shared" si="4"/>
        <v>0</v>
      </c>
    </row>
    <row r="14" spans="1:16" x14ac:dyDescent="0.45">
      <c r="A14" s="14">
        <v>12</v>
      </c>
      <c r="B14" s="15">
        <v>13</v>
      </c>
      <c r="C14" s="2">
        <v>97.7</v>
      </c>
      <c r="D14" s="2">
        <v>79</v>
      </c>
      <c r="E14" s="2">
        <f>xP!P13</f>
        <v>1.06743827160494</v>
      </c>
      <c r="F14" s="7">
        <f t="shared" si="1"/>
        <v>18.700000000000003</v>
      </c>
      <c r="G14" s="11">
        <v>90.625140210744206</v>
      </c>
      <c r="H14" s="2">
        <v>89</v>
      </c>
      <c r="I14" s="2">
        <f>xPMin!P13</f>
        <v>0.94317238200805298</v>
      </c>
      <c r="J14" s="7">
        <f t="shared" si="2"/>
        <v>1.6251402107442061</v>
      </c>
      <c r="K14">
        <v>58.1</v>
      </c>
      <c r="L14">
        <v>30</v>
      </c>
      <c r="M14">
        <v>1.6640897755610999</v>
      </c>
      <c r="N14" s="25">
        <f t="shared" si="0"/>
        <v>28.1</v>
      </c>
      <c r="O14" s="2">
        <f t="shared" si="3"/>
        <v>10</v>
      </c>
      <c r="P14" s="2">
        <f t="shared" si="4"/>
        <v>-7.0748597892557967</v>
      </c>
    </row>
    <row r="15" spans="1:16" x14ac:dyDescent="0.45">
      <c r="A15" s="14">
        <v>13</v>
      </c>
      <c r="B15" s="15">
        <v>14</v>
      </c>
      <c r="C15" s="2">
        <v>87.2</v>
      </c>
      <c r="D15" s="2">
        <v>82</v>
      </c>
      <c r="E15" s="2">
        <f>xP!P14</f>
        <v>1.05579268292683</v>
      </c>
      <c r="F15" s="7">
        <f t="shared" si="1"/>
        <v>5.2000000000000028</v>
      </c>
      <c r="G15" s="11">
        <v>82.609586049970005</v>
      </c>
      <c r="H15" s="2">
        <v>69</v>
      </c>
      <c r="I15" s="2">
        <f>xPMin!P14</f>
        <v>0.94930297283106901</v>
      </c>
      <c r="J15" s="7">
        <f t="shared" si="2"/>
        <v>13.609586049970005</v>
      </c>
      <c r="K15">
        <v>59.8</v>
      </c>
      <c r="L15">
        <v>42</v>
      </c>
      <c r="M15">
        <v>1.59230769230769</v>
      </c>
      <c r="N15" s="25">
        <f t="shared" si="0"/>
        <v>17.799999999999997</v>
      </c>
      <c r="O15" s="2">
        <f t="shared" si="3"/>
        <v>-13</v>
      </c>
      <c r="P15" s="2">
        <f t="shared" si="4"/>
        <v>-4.5904139500299976</v>
      </c>
    </row>
    <row r="16" spans="1:16" x14ac:dyDescent="0.45">
      <c r="A16" s="14">
        <v>14</v>
      </c>
      <c r="B16" s="15">
        <v>15</v>
      </c>
      <c r="C16" s="2">
        <v>86.4</v>
      </c>
      <c r="D16" s="2">
        <v>108</v>
      </c>
      <c r="E16" s="2">
        <f>xP!P15</f>
        <v>0.91346444780635405</v>
      </c>
      <c r="F16" s="7">
        <f t="shared" si="1"/>
        <v>-21.599999999999994</v>
      </c>
      <c r="G16" s="11">
        <v>82.738676021927304</v>
      </c>
      <c r="H16" s="2">
        <v>100</v>
      </c>
      <c r="I16" s="2">
        <f>xPMin!P15</f>
        <v>0.84352793158593498</v>
      </c>
      <c r="J16" s="7">
        <f t="shared" si="2"/>
        <v>-17.261323978072696</v>
      </c>
      <c r="K16">
        <v>58.1</v>
      </c>
      <c r="L16">
        <v>32</v>
      </c>
      <c r="M16">
        <v>1.5182716049382701</v>
      </c>
      <c r="N16" s="25">
        <f t="shared" si="0"/>
        <v>26.1</v>
      </c>
      <c r="O16" s="2">
        <f t="shared" si="3"/>
        <v>-8</v>
      </c>
      <c r="P16" s="2">
        <f t="shared" si="4"/>
        <v>-3.6613239780727014</v>
      </c>
    </row>
    <row r="17" spans="1:16" x14ac:dyDescent="0.45">
      <c r="A17" s="14">
        <v>15</v>
      </c>
      <c r="B17" s="15">
        <v>16</v>
      </c>
      <c r="C17" s="2">
        <v>103.5</v>
      </c>
      <c r="D17" s="2">
        <v>122</v>
      </c>
      <c r="E17" s="2">
        <f>xP!P16</f>
        <v>0.92833583208395798</v>
      </c>
      <c r="F17" s="7">
        <f t="shared" si="1"/>
        <v>-18.5</v>
      </c>
      <c r="G17" s="11">
        <v>95.8452371888459</v>
      </c>
      <c r="H17" s="2">
        <v>121</v>
      </c>
      <c r="I17" s="2">
        <f>xPMin!P16</f>
        <v>0.85559423395605405</v>
      </c>
      <c r="J17" s="7">
        <f t="shared" si="2"/>
        <v>-25.1547628111541</v>
      </c>
      <c r="K17">
        <v>57.8</v>
      </c>
      <c r="L17">
        <v>44</v>
      </c>
      <c r="M17">
        <v>1.5839901477832501</v>
      </c>
      <c r="N17" s="25">
        <f t="shared" si="0"/>
        <v>13.799999999999997</v>
      </c>
      <c r="O17" s="2">
        <f t="shared" si="3"/>
        <v>-1</v>
      </c>
      <c r="P17" s="2">
        <f t="shared" si="4"/>
        <v>-7.6547628111541002</v>
      </c>
    </row>
    <row r="18" spans="1:16" x14ac:dyDescent="0.45">
      <c r="A18" s="14">
        <v>16</v>
      </c>
      <c r="B18" s="15">
        <v>17</v>
      </c>
      <c r="C18" s="2">
        <v>152</v>
      </c>
      <c r="D18" s="2">
        <v>148</v>
      </c>
      <c r="E18" s="2">
        <f>xP!P17</f>
        <v>0.31540740740740703</v>
      </c>
      <c r="F18" s="7">
        <f t="shared" si="1"/>
        <v>4</v>
      </c>
      <c r="G18" s="11">
        <v>134.48365445443801</v>
      </c>
      <c r="H18" s="2">
        <v>136</v>
      </c>
      <c r="I18" s="2">
        <f>xPMin!P17</f>
        <v>0.511818873751404</v>
      </c>
      <c r="J18" s="7">
        <f t="shared" si="2"/>
        <v>-1.5163455455619896</v>
      </c>
      <c r="K18">
        <v>59.6</v>
      </c>
      <c r="L18">
        <v>51</v>
      </c>
      <c r="M18">
        <v>1.52113022113022</v>
      </c>
      <c r="N18" s="25">
        <f t="shared" si="0"/>
        <v>8.6000000000000014</v>
      </c>
      <c r="O18" s="2">
        <f t="shared" si="3"/>
        <v>-12</v>
      </c>
      <c r="P18" s="2">
        <f t="shared" si="4"/>
        <v>-17.51634554556199</v>
      </c>
    </row>
    <row r="19" spans="1:16" x14ac:dyDescent="0.45">
      <c r="A19" s="14">
        <v>17</v>
      </c>
      <c r="B19" s="15">
        <v>18</v>
      </c>
      <c r="C19" s="2">
        <v>113</v>
      </c>
      <c r="D19" s="2">
        <v>98</v>
      </c>
      <c r="E19" s="2">
        <f>xP!P18</f>
        <v>0.74941002949852498</v>
      </c>
      <c r="F19" s="7">
        <f t="shared" si="1"/>
        <v>15</v>
      </c>
      <c r="G19" s="11">
        <v>103.21290667596099</v>
      </c>
      <c r="H19" s="2">
        <v>98</v>
      </c>
      <c r="I19" s="2">
        <f>xPMin!P18</f>
        <v>0.72622620503279001</v>
      </c>
      <c r="J19" s="7">
        <f t="shared" si="2"/>
        <v>5.2129066759609941</v>
      </c>
      <c r="K19">
        <v>57.6</v>
      </c>
      <c r="L19">
        <v>35</v>
      </c>
      <c r="M19">
        <v>1.6171568627451001</v>
      </c>
      <c r="N19" s="25">
        <f t="shared" si="0"/>
        <v>22.6</v>
      </c>
      <c r="O19" s="2">
        <f t="shared" si="3"/>
        <v>0</v>
      </c>
      <c r="P19" s="2">
        <f t="shared" si="4"/>
        <v>-9.7870933240390059</v>
      </c>
    </row>
    <row r="20" spans="1:16" x14ac:dyDescent="0.45">
      <c r="A20" s="14">
        <v>18</v>
      </c>
      <c r="B20" s="15">
        <v>19</v>
      </c>
      <c r="C20" s="2">
        <v>100.7</v>
      </c>
      <c r="D20" s="2">
        <v>98</v>
      </c>
      <c r="E20" s="2">
        <f>xP!P19</f>
        <v>0.815008156606852</v>
      </c>
      <c r="F20" s="7">
        <f t="shared" si="1"/>
        <v>2.7000000000000028</v>
      </c>
      <c r="G20" s="11">
        <v>92.9631011810243</v>
      </c>
      <c r="H20" s="2">
        <v>82</v>
      </c>
      <c r="I20" s="2">
        <f>xPMin!P19</f>
        <v>0.79933660485922098</v>
      </c>
      <c r="J20" s="7">
        <f t="shared" si="2"/>
        <v>10.9631011810243</v>
      </c>
      <c r="K20">
        <v>58.1</v>
      </c>
      <c r="L20">
        <v>52</v>
      </c>
      <c r="M20">
        <v>1.57935656836461</v>
      </c>
      <c r="N20" s="25">
        <f t="shared" si="0"/>
        <v>6.1000000000000014</v>
      </c>
      <c r="O20" s="2">
        <f t="shared" si="3"/>
        <v>-16</v>
      </c>
      <c r="P20" s="2">
        <f t="shared" si="4"/>
        <v>-7.7368988189757033</v>
      </c>
    </row>
    <row r="21" spans="1:16" x14ac:dyDescent="0.45">
      <c r="A21" s="14">
        <v>19</v>
      </c>
      <c r="B21" s="15">
        <v>20</v>
      </c>
      <c r="C21" s="2">
        <v>89.2</v>
      </c>
      <c r="D21" s="2">
        <v>116</v>
      </c>
      <c r="E21" s="2">
        <f>xP!P20</f>
        <v>0.77393617021276595</v>
      </c>
      <c r="F21" s="7">
        <f t="shared" si="1"/>
        <v>-26.799999999999997</v>
      </c>
      <c r="G21" s="11">
        <v>84.058152741913304</v>
      </c>
      <c r="H21" s="2">
        <v>116</v>
      </c>
      <c r="I21" s="2">
        <f>xPMin!P20</f>
        <v>0.79566514489940698</v>
      </c>
      <c r="J21" s="7">
        <f t="shared" si="2"/>
        <v>-31.941847258086696</v>
      </c>
      <c r="K21">
        <v>58.4</v>
      </c>
      <c r="L21">
        <v>30</v>
      </c>
      <c r="M21">
        <v>1.6320987654321</v>
      </c>
      <c r="N21" s="25">
        <f t="shared" si="0"/>
        <v>28.4</v>
      </c>
      <c r="O21" s="2">
        <f t="shared" si="3"/>
        <v>0</v>
      </c>
      <c r="P21" s="2">
        <f t="shared" si="4"/>
        <v>-5.141847258086699</v>
      </c>
    </row>
    <row r="22" spans="1:16" x14ac:dyDescent="0.45">
      <c r="A22" s="14">
        <v>20</v>
      </c>
      <c r="B22" s="15">
        <v>21</v>
      </c>
      <c r="C22" s="2">
        <v>92.8</v>
      </c>
      <c r="D22" s="2">
        <v>84</v>
      </c>
      <c r="E22" s="2">
        <f>xP!P21</f>
        <v>0.87355021216407402</v>
      </c>
      <c r="F22" s="7">
        <f t="shared" si="1"/>
        <v>8.7999999999999972</v>
      </c>
      <c r="G22" s="11">
        <v>88.782043515131406</v>
      </c>
      <c r="H22" s="2">
        <v>77</v>
      </c>
      <c r="I22" s="2">
        <f>xPMin!P21</f>
        <v>0.86065891327347699</v>
      </c>
      <c r="J22" s="7">
        <f t="shared" si="2"/>
        <v>11.782043515131406</v>
      </c>
      <c r="K22">
        <v>60.4</v>
      </c>
      <c r="L22">
        <v>65</v>
      </c>
      <c r="M22">
        <v>1.5182038834951499</v>
      </c>
      <c r="N22" s="25">
        <f t="shared" si="0"/>
        <v>-4.6000000000000014</v>
      </c>
      <c r="O22" s="2">
        <f t="shared" si="3"/>
        <v>-7</v>
      </c>
      <c r="P22" s="2">
        <f t="shared" si="4"/>
        <v>-4.0179564848685914</v>
      </c>
    </row>
    <row r="23" spans="1:16" x14ac:dyDescent="0.45">
      <c r="A23" s="14">
        <v>21</v>
      </c>
      <c r="B23" s="15">
        <v>22</v>
      </c>
      <c r="C23" s="2">
        <v>92.2</v>
      </c>
      <c r="D23" s="2">
        <v>78</v>
      </c>
      <c r="E23" s="2">
        <f>xP!P22</f>
        <v>0.87864661654135301</v>
      </c>
      <c r="F23" s="7">
        <f t="shared" si="1"/>
        <v>14.200000000000003</v>
      </c>
      <c r="G23" s="11">
        <v>87.826230962465601</v>
      </c>
      <c r="H23" s="2">
        <v>73</v>
      </c>
      <c r="I23" s="2">
        <f>xPMin!P22</f>
        <v>0.82942249122091805</v>
      </c>
      <c r="J23" s="7">
        <f t="shared" si="2"/>
        <v>14.826230962465601</v>
      </c>
      <c r="K23">
        <v>59.5</v>
      </c>
      <c r="L23">
        <v>38</v>
      </c>
      <c r="M23">
        <v>1.63242506811989</v>
      </c>
      <c r="N23" s="25">
        <f t="shared" si="0"/>
        <v>21.5</v>
      </c>
      <c r="O23" s="2">
        <f t="shared" si="3"/>
        <v>-5</v>
      </c>
      <c r="P23" s="2">
        <f t="shared" si="4"/>
        <v>-4.3737690375344016</v>
      </c>
    </row>
    <row r="24" spans="1:16" x14ac:dyDescent="0.45">
      <c r="A24" s="14">
        <v>22</v>
      </c>
      <c r="B24" s="15">
        <v>23</v>
      </c>
      <c r="C24" s="2">
        <v>89.1</v>
      </c>
      <c r="D24" s="2">
        <v>87</v>
      </c>
      <c r="E24" s="2">
        <f>xP!P23</f>
        <v>0.73102941176470604</v>
      </c>
      <c r="F24" s="7">
        <f t="shared" si="1"/>
        <v>2.0999999999999943</v>
      </c>
      <c r="G24" s="11">
        <v>81.412104850348697</v>
      </c>
      <c r="H24" s="2">
        <v>62</v>
      </c>
      <c r="I24" s="2">
        <f>xPMin!P23</f>
        <v>0.70523309254364397</v>
      </c>
      <c r="J24" s="7">
        <f t="shared" si="2"/>
        <v>19.412104850348697</v>
      </c>
      <c r="K24">
        <v>59.7</v>
      </c>
      <c r="L24">
        <v>48</v>
      </c>
      <c r="M24">
        <v>1.33968253968254</v>
      </c>
      <c r="N24" s="25">
        <f t="shared" si="0"/>
        <v>11.700000000000003</v>
      </c>
      <c r="O24" s="2">
        <f t="shared" si="3"/>
        <v>-25</v>
      </c>
      <c r="P24" s="2">
        <f t="shared" si="4"/>
        <v>-7.6878951496512968</v>
      </c>
    </row>
    <row r="25" spans="1:16" x14ac:dyDescent="0.45">
      <c r="A25" s="14">
        <v>23</v>
      </c>
      <c r="B25" s="15">
        <v>24</v>
      </c>
      <c r="C25" s="2">
        <v>98.7</v>
      </c>
      <c r="D25" s="2">
        <v>117</v>
      </c>
      <c r="E25" s="2">
        <f>xP!P24</f>
        <v>0.71313672922252003</v>
      </c>
      <c r="F25" s="7">
        <f t="shared" si="1"/>
        <v>-18.299999999999997</v>
      </c>
      <c r="G25" s="11">
        <v>89.570094686813803</v>
      </c>
      <c r="H25" s="2">
        <v>103</v>
      </c>
      <c r="I25" s="2">
        <f>xPMin!P24</f>
        <v>0.739233680347952</v>
      </c>
      <c r="J25" s="7">
        <f t="shared" si="2"/>
        <v>-13.429905313186197</v>
      </c>
      <c r="K25">
        <v>57.9</v>
      </c>
      <c r="L25">
        <v>71</v>
      </c>
      <c r="M25">
        <v>1.4723970944309901</v>
      </c>
      <c r="N25" s="25">
        <f t="shared" si="0"/>
        <v>-13.100000000000001</v>
      </c>
      <c r="O25" s="2">
        <f t="shared" si="3"/>
        <v>-14</v>
      </c>
      <c r="P25" s="2">
        <f t="shared" si="4"/>
        <v>-9.1299053131861996</v>
      </c>
    </row>
    <row r="26" spans="1:16" x14ac:dyDescent="0.45">
      <c r="A26" s="14">
        <v>24</v>
      </c>
      <c r="B26" s="15">
        <v>25</v>
      </c>
      <c r="C26" s="2">
        <v>79</v>
      </c>
      <c r="D26" s="2">
        <v>72</v>
      </c>
      <c r="E26" s="2">
        <f>xP!P25</f>
        <v>0.93859649122806998</v>
      </c>
      <c r="F26" s="7">
        <f t="shared" si="1"/>
        <v>7</v>
      </c>
      <c r="G26" s="11">
        <v>69.053155592765606</v>
      </c>
      <c r="H26" s="2">
        <v>71</v>
      </c>
      <c r="I26" s="2">
        <f>xPMin!P25</f>
        <v>0.91105722012930401</v>
      </c>
      <c r="J26" s="7">
        <f t="shared" si="2"/>
        <v>-1.9468444072343942</v>
      </c>
      <c r="K26">
        <v>54.6</v>
      </c>
      <c r="L26">
        <v>26</v>
      </c>
      <c r="M26">
        <v>1.62777777777778</v>
      </c>
      <c r="N26" s="25">
        <f t="shared" si="0"/>
        <v>28.6</v>
      </c>
      <c r="O26" s="2">
        <f t="shared" si="3"/>
        <v>-1</v>
      </c>
      <c r="P26" s="2">
        <f t="shared" si="4"/>
        <v>-9.9468444072343942</v>
      </c>
    </row>
    <row r="27" spans="1:16" x14ac:dyDescent="0.45">
      <c r="A27" s="14">
        <v>25</v>
      </c>
      <c r="B27" s="15">
        <v>26</v>
      </c>
      <c r="C27" s="2">
        <v>89.7</v>
      </c>
      <c r="D27" s="2">
        <v>84</v>
      </c>
      <c r="E27" s="2">
        <f>xP!P26</f>
        <v>0.92182061579651897</v>
      </c>
      <c r="F27" s="7">
        <f t="shared" si="1"/>
        <v>5.7000000000000028</v>
      </c>
      <c r="G27" s="11">
        <v>84.477083860334403</v>
      </c>
      <c r="H27" s="2">
        <v>91</v>
      </c>
      <c r="I27" s="2">
        <f>xPMin!P26</f>
        <v>0.89278594724297</v>
      </c>
      <c r="J27" s="7">
        <f t="shared" si="2"/>
        <v>-6.5229161396655968</v>
      </c>
      <c r="K27">
        <v>60.4</v>
      </c>
      <c r="L27">
        <v>66</v>
      </c>
      <c r="M27">
        <v>1.6036319612590799</v>
      </c>
      <c r="N27" s="25">
        <f t="shared" si="0"/>
        <v>-5.6000000000000014</v>
      </c>
      <c r="O27" s="2">
        <f t="shared" si="3"/>
        <v>7</v>
      </c>
      <c r="P27" s="2">
        <f t="shared" si="4"/>
        <v>-5.2229161396655996</v>
      </c>
    </row>
    <row r="28" spans="1:16" x14ac:dyDescent="0.45">
      <c r="A28" s="14">
        <v>26</v>
      </c>
      <c r="B28" s="15">
        <v>27</v>
      </c>
      <c r="C28" s="2">
        <v>83.6</v>
      </c>
      <c r="D28" s="2">
        <v>57</v>
      </c>
      <c r="E28" s="2">
        <f>xP!P27</f>
        <v>0.93953488372092997</v>
      </c>
      <c r="F28" s="7">
        <f t="shared" si="1"/>
        <v>26.599999999999994</v>
      </c>
      <c r="G28" s="11">
        <v>77.040935923319395</v>
      </c>
      <c r="H28" s="2">
        <v>76</v>
      </c>
      <c r="I28" s="2">
        <f>xPMin!P27</f>
        <v>0.85548399138420606</v>
      </c>
      <c r="J28" s="7">
        <f t="shared" si="2"/>
        <v>1.0409359233193953</v>
      </c>
      <c r="K28">
        <v>60.4</v>
      </c>
      <c r="L28">
        <v>15</v>
      </c>
      <c r="M28">
        <v>1.56388888888889</v>
      </c>
      <c r="N28" s="25">
        <f t="shared" si="0"/>
        <v>45.4</v>
      </c>
      <c r="O28" s="2">
        <f t="shared" si="3"/>
        <v>19</v>
      </c>
      <c r="P28" s="2">
        <f t="shared" si="4"/>
        <v>-6.559064076680599</v>
      </c>
    </row>
    <row r="29" spans="1:16" x14ac:dyDescent="0.45">
      <c r="A29" s="14">
        <v>27</v>
      </c>
      <c r="B29" s="15">
        <v>28</v>
      </c>
      <c r="C29" s="2">
        <v>88.9</v>
      </c>
      <c r="D29" s="2">
        <v>110</v>
      </c>
      <c r="E29" s="2">
        <f>xP!P28</f>
        <v>0.76957328385899804</v>
      </c>
      <c r="F29" s="7">
        <f t="shared" si="1"/>
        <v>-21.099999999999994</v>
      </c>
      <c r="G29" s="11">
        <v>81.514884921845905</v>
      </c>
      <c r="H29" s="2">
        <v>110</v>
      </c>
      <c r="I29" s="2">
        <f>xPMin!P28</f>
        <v>0.73235536799328804</v>
      </c>
      <c r="J29" s="7">
        <f t="shared" si="2"/>
        <v>-28.485115078154095</v>
      </c>
      <c r="K29">
        <v>53.3</v>
      </c>
      <c r="L29">
        <v>44</v>
      </c>
      <c r="M29">
        <v>1.45394736842105</v>
      </c>
      <c r="N29" s="25">
        <f t="shared" si="0"/>
        <v>9.2999999999999972</v>
      </c>
      <c r="O29" s="2">
        <f t="shared" si="3"/>
        <v>0</v>
      </c>
      <c r="P29" s="2">
        <f t="shared" si="4"/>
        <v>-7.3851150781541008</v>
      </c>
    </row>
    <row r="30" spans="1:16" x14ac:dyDescent="0.45">
      <c r="A30" s="14">
        <v>28</v>
      </c>
      <c r="B30" s="15">
        <v>29</v>
      </c>
      <c r="C30" s="2">
        <v>81.5</v>
      </c>
      <c r="D30" s="2">
        <v>84</v>
      </c>
      <c r="E30" s="2">
        <f>xP!P29</f>
        <v>0.71050847457627098</v>
      </c>
      <c r="F30" s="7">
        <f t="shared" si="1"/>
        <v>-2.5</v>
      </c>
      <c r="G30" s="11">
        <v>74.353148582971301</v>
      </c>
      <c r="H30" s="2">
        <v>53</v>
      </c>
      <c r="I30" s="2">
        <f>xPMin!P29</f>
        <v>0.72134266112063505</v>
      </c>
      <c r="J30" s="7">
        <f t="shared" si="2"/>
        <v>21.353148582971301</v>
      </c>
      <c r="K30">
        <v>53.1</v>
      </c>
      <c r="L30">
        <v>41</v>
      </c>
      <c r="M30">
        <v>1.5064516129032299</v>
      </c>
      <c r="N30" s="25">
        <f t="shared" si="0"/>
        <v>12.100000000000001</v>
      </c>
      <c r="O30" s="2">
        <f t="shared" si="3"/>
        <v>-31</v>
      </c>
      <c r="P30" s="2">
        <f t="shared" si="4"/>
        <v>-7.1468514170286994</v>
      </c>
    </row>
    <row r="31" spans="1:16" x14ac:dyDescent="0.45">
      <c r="A31" s="14">
        <v>29</v>
      </c>
      <c r="B31" s="15">
        <v>30</v>
      </c>
      <c r="C31" s="2">
        <v>104.5</v>
      </c>
      <c r="D31" s="2">
        <v>96</v>
      </c>
      <c r="E31" s="2">
        <f>xP!P30</f>
        <v>0.745358090185676</v>
      </c>
      <c r="F31" s="7">
        <f t="shared" si="1"/>
        <v>8.5</v>
      </c>
      <c r="G31" s="11">
        <v>94.555051307317996</v>
      </c>
      <c r="H31" s="2">
        <v>101</v>
      </c>
      <c r="I31" s="2">
        <f>xPMin!P30</f>
        <v>0.72269501758510502</v>
      </c>
      <c r="J31" s="7">
        <f t="shared" si="2"/>
        <v>-6.4449486926820043</v>
      </c>
      <c r="K31">
        <v>60</v>
      </c>
      <c r="L31">
        <v>32</v>
      </c>
      <c r="M31">
        <v>1.51452784503632</v>
      </c>
      <c r="N31" s="25">
        <f t="shared" si="0"/>
        <v>28</v>
      </c>
      <c r="O31" s="2">
        <f t="shared" si="3"/>
        <v>5</v>
      </c>
      <c r="P31" s="2">
        <f t="shared" si="4"/>
        <v>-9.9449486926820043</v>
      </c>
    </row>
    <row r="32" spans="1:16" x14ac:dyDescent="0.45">
      <c r="A32" s="14">
        <v>30</v>
      </c>
      <c r="B32" s="15">
        <v>31</v>
      </c>
      <c r="C32" s="2">
        <v>102.4</v>
      </c>
      <c r="D32" s="2">
        <v>107</v>
      </c>
      <c r="E32" s="2">
        <f>xP!P31</f>
        <v>0.78142292490118603</v>
      </c>
      <c r="F32" s="7">
        <f t="shared" si="1"/>
        <v>-4.5999999999999943</v>
      </c>
      <c r="G32" s="11">
        <v>89.4036761023102</v>
      </c>
      <c r="H32" s="2">
        <v>83</v>
      </c>
      <c r="I32" s="2">
        <f>xPMin!P31</f>
        <v>0.75843604874265302</v>
      </c>
      <c r="J32" s="7">
        <f t="shared" si="2"/>
        <v>6.4036761023102002</v>
      </c>
      <c r="K32">
        <v>57.8</v>
      </c>
      <c r="L32">
        <v>36</v>
      </c>
      <c r="M32">
        <v>1.48111380145278</v>
      </c>
      <c r="N32" s="25">
        <f t="shared" si="0"/>
        <v>21.799999999999997</v>
      </c>
      <c r="O32" s="2">
        <f t="shared" si="3"/>
        <v>-24</v>
      </c>
      <c r="P32" s="2">
        <f t="shared" si="4"/>
        <v>-12.996323897689805</v>
      </c>
    </row>
    <row r="33" spans="1:16" x14ac:dyDescent="0.45">
      <c r="A33" s="14">
        <v>31</v>
      </c>
      <c r="B33" s="15">
        <v>32</v>
      </c>
      <c r="C33" s="2">
        <v>87</v>
      </c>
      <c r="D33" s="2">
        <v>72</v>
      </c>
      <c r="E33" s="2">
        <f>xP!P32</f>
        <v>0.78772504091652995</v>
      </c>
      <c r="F33" s="7">
        <f t="shared" si="1"/>
        <v>15</v>
      </c>
      <c r="G33" s="11">
        <v>78.9048449127271</v>
      </c>
      <c r="H33" s="2">
        <v>69</v>
      </c>
      <c r="I33" s="2">
        <f>xPMin!P32</f>
        <v>0.75777835043384301</v>
      </c>
      <c r="J33" s="7">
        <f t="shared" si="2"/>
        <v>9.9048449127270999</v>
      </c>
      <c r="K33">
        <v>60</v>
      </c>
      <c r="L33">
        <v>38</v>
      </c>
      <c r="M33">
        <v>1.46738461538462</v>
      </c>
      <c r="N33" s="25">
        <f t="shared" si="0"/>
        <v>22</v>
      </c>
      <c r="O33" s="2">
        <f t="shared" si="3"/>
        <v>-3</v>
      </c>
      <c r="P33" s="2">
        <f t="shared" si="4"/>
        <v>-8.0951550872729001</v>
      </c>
    </row>
    <row r="34" spans="1:16" x14ac:dyDescent="0.45">
      <c r="A34" s="14">
        <v>32</v>
      </c>
      <c r="B34" s="15">
        <v>33</v>
      </c>
      <c r="C34" s="2">
        <v>95.1</v>
      </c>
      <c r="D34" s="2">
        <v>115</v>
      </c>
      <c r="E34" s="2">
        <f>xP!P33</f>
        <v>0.78028909329829199</v>
      </c>
      <c r="F34" s="7">
        <f t="shared" si="1"/>
        <v>-19.900000000000006</v>
      </c>
      <c r="G34" s="11">
        <v>86.032452407091796</v>
      </c>
      <c r="H34" s="2">
        <v>100</v>
      </c>
      <c r="I34" s="2">
        <f>xPMin!P33</f>
        <v>0.78042010005564</v>
      </c>
      <c r="J34" s="7">
        <f t="shared" si="2"/>
        <v>-13.967547592908204</v>
      </c>
      <c r="K34">
        <v>58.2</v>
      </c>
      <c r="L34">
        <v>35</v>
      </c>
      <c r="M34">
        <v>1.45903614457831</v>
      </c>
      <c r="N34" s="25">
        <f t="shared" si="0"/>
        <v>23.200000000000003</v>
      </c>
      <c r="O34" s="2">
        <f t="shared" si="3"/>
        <v>-15</v>
      </c>
      <c r="P34" s="2">
        <f t="shared" si="4"/>
        <v>-9.0675475929081983</v>
      </c>
    </row>
    <row r="35" spans="1:16" x14ac:dyDescent="0.45">
      <c r="A35" s="14">
        <v>33</v>
      </c>
      <c r="B35" s="15">
        <v>34</v>
      </c>
      <c r="C35" s="2">
        <v>82.3</v>
      </c>
      <c r="D35" s="2">
        <v>79</v>
      </c>
      <c r="E35" s="2">
        <f>xP!P34</f>
        <v>0.76471663619744101</v>
      </c>
      <c r="F35" s="7">
        <f t="shared" si="1"/>
        <v>3.2999999999999972</v>
      </c>
      <c r="G35" s="11">
        <v>75.659905206570798</v>
      </c>
      <c r="H35" s="2">
        <v>62</v>
      </c>
      <c r="I35" s="2">
        <f>xPMin!P34</f>
        <v>0.69421288336585296</v>
      </c>
      <c r="J35" s="7">
        <f t="shared" si="2"/>
        <v>13.659905206570798</v>
      </c>
      <c r="K35">
        <v>53.3</v>
      </c>
      <c r="L35">
        <v>18</v>
      </c>
      <c r="M35">
        <v>1.4287581699346401</v>
      </c>
      <c r="N35" s="25">
        <f t="shared" si="0"/>
        <v>35.299999999999997</v>
      </c>
      <c r="O35" s="2">
        <f t="shared" si="3"/>
        <v>-17</v>
      </c>
      <c r="P35" s="2">
        <f t="shared" si="4"/>
        <v>-6.6400947934291992</v>
      </c>
    </row>
    <row r="36" spans="1:16" x14ac:dyDescent="0.45">
      <c r="A36" s="14">
        <v>34</v>
      </c>
      <c r="B36" s="15">
        <v>35</v>
      </c>
      <c r="C36" s="2">
        <v>88.3</v>
      </c>
      <c r="D36" s="2">
        <v>77</v>
      </c>
      <c r="E36" s="2">
        <f>xP!P35</f>
        <v>0.89017038007863702</v>
      </c>
      <c r="F36" s="7">
        <f t="shared" si="1"/>
        <v>11.299999999999997</v>
      </c>
      <c r="G36" s="11">
        <v>84.817381207742102</v>
      </c>
      <c r="H36" s="2">
        <v>97</v>
      </c>
      <c r="I36" s="2">
        <f>xPMin!P35</f>
        <v>0.84130170915407498</v>
      </c>
      <c r="J36" s="7">
        <f t="shared" si="2"/>
        <v>-12.182618792257898</v>
      </c>
      <c r="K36">
        <v>58.2</v>
      </c>
      <c r="L36">
        <v>55</v>
      </c>
      <c r="M36">
        <v>1.5530120481927701</v>
      </c>
      <c r="N36" s="25">
        <f t="shared" si="0"/>
        <v>3.2000000000000028</v>
      </c>
      <c r="O36" s="2">
        <f t="shared" si="3"/>
        <v>20</v>
      </c>
      <c r="P36" s="2">
        <f t="shared" si="4"/>
        <v>-3.4826187922578953</v>
      </c>
    </row>
    <row r="37" spans="1:16" hidden="1" x14ac:dyDescent="0.45">
      <c r="A37" s="16">
        <v>35</v>
      </c>
      <c r="B37" s="17">
        <v>36</v>
      </c>
      <c r="C37" s="3">
        <v>0</v>
      </c>
      <c r="D37" s="3">
        <v>4</v>
      </c>
      <c r="E37" s="3">
        <f>xP!P36</f>
        <v>1.09537572254335</v>
      </c>
      <c r="F37" s="8">
        <f t="shared" si="1"/>
        <v>-4</v>
      </c>
      <c r="G37" s="12">
        <v>0</v>
      </c>
      <c r="H37" s="3">
        <v>4</v>
      </c>
      <c r="I37" s="3">
        <f>xPMin!P36</f>
        <v>1.09537572254335</v>
      </c>
      <c r="J37" s="8">
        <f t="shared" si="2"/>
        <v>-4</v>
      </c>
      <c r="K37">
        <v>58.1</v>
      </c>
      <c r="L37">
        <v>61</v>
      </c>
      <c r="M37">
        <v>1.6170270270270299</v>
      </c>
      <c r="N37" s="24">
        <f t="shared" si="0"/>
        <v>-2.8999999999999986</v>
      </c>
      <c r="O37" s="3">
        <f t="shared" si="3"/>
        <v>0</v>
      </c>
      <c r="P37" s="3">
        <f t="shared" si="4"/>
        <v>0</v>
      </c>
    </row>
    <row r="38" spans="1:16" x14ac:dyDescent="0.45">
      <c r="A38" s="14">
        <v>36</v>
      </c>
      <c r="B38" s="15">
        <v>37</v>
      </c>
      <c r="C38" s="2">
        <v>86.7</v>
      </c>
      <c r="D38" s="2">
        <v>41</v>
      </c>
      <c r="E38" s="2">
        <f>xP!P37</f>
        <v>0.81615508885298904</v>
      </c>
      <c r="F38" s="7">
        <f t="shared" si="1"/>
        <v>45.7</v>
      </c>
      <c r="G38" s="11">
        <v>82.206216905573598</v>
      </c>
      <c r="H38" s="2">
        <v>38</v>
      </c>
      <c r="I38" s="2">
        <f>xPMin!P37</f>
        <v>0.78805707978689399</v>
      </c>
      <c r="J38" s="7">
        <f t="shared" si="2"/>
        <v>44.206216905573598</v>
      </c>
      <c r="K38">
        <v>60</v>
      </c>
      <c r="L38">
        <v>40</v>
      </c>
      <c r="M38">
        <v>1.4594512195122</v>
      </c>
      <c r="N38" s="25">
        <f t="shared" si="0"/>
        <v>20</v>
      </c>
      <c r="O38" s="2">
        <f t="shared" si="3"/>
        <v>-3</v>
      </c>
      <c r="P38" s="2">
        <f t="shared" si="4"/>
        <v>-4.493783094426405</v>
      </c>
    </row>
    <row r="39" spans="1:16" x14ac:dyDescent="0.45">
      <c r="A39" s="14">
        <v>37</v>
      </c>
      <c r="B39" s="15">
        <v>38</v>
      </c>
      <c r="C39" s="2">
        <v>87.5</v>
      </c>
      <c r="D39" s="2">
        <v>85</v>
      </c>
      <c r="E39" s="2">
        <f>xP!P38</f>
        <v>0.83393316195372702</v>
      </c>
      <c r="F39" s="7">
        <f t="shared" si="1"/>
        <v>2.5</v>
      </c>
      <c r="G39" s="11">
        <v>82.293613478568801</v>
      </c>
      <c r="H39" s="2">
        <v>76</v>
      </c>
      <c r="I39" s="2">
        <f>xPMin!P38</f>
        <v>0.79427613291902199</v>
      </c>
      <c r="J39" s="7">
        <f t="shared" si="2"/>
        <v>6.2936134785688012</v>
      </c>
      <c r="K39">
        <v>59.2</v>
      </c>
      <c r="L39">
        <v>24</v>
      </c>
      <c r="M39">
        <v>1.5327751196172299</v>
      </c>
      <c r="N39" s="25">
        <f t="shared" si="0"/>
        <v>35.200000000000003</v>
      </c>
      <c r="O39" s="2">
        <f t="shared" si="3"/>
        <v>-9</v>
      </c>
      <c r="P39" s="2">
        <f t="shared" si="4"/>
        <v>-5.2063865214311988</v>
      </c>
    </row>
    <row r="40" spans="1:16" x14ac:dyDescent="0.45">
      <c r="A40" s="21" t="s">
        <v>180</v>
      </c>
      <c r="B40" s="22"/>
      <c r="C40" s="4">
        <f>SUM(C3:C39)</f>
        <v>3360.5</v>
      </c>
      <c r="D40" s="4">
        <f>SUM(D3:D39)</f>
        <v>3269</v>
      </c>
      <c r="E40" s="18">
        <f>SUMPRODUCT(xP!P2:P38,xP!Q2:Q38)/SUM(xP!Q2:Q38)</f>
        <v>0.88664188987141701</v>
      </c>
      <c r="F40" s="9">
        <f>SUM(F3:F39)</f>
        <v>91.5</v>
      </c>
      <c r="G40" s="13">
        <f>SUM(G3:G39)</f>
        <v>3125.2656762900383</v>
      </c>
      <c r="H40" s="4">
        <f>SUM(H3:H39)</f>
        <v>3179</v>
      </c>
      <c r="I40" s="18">
        <f>SUMPRODUCT(xPMin!P2:P38,xPMin!Q2:Q38)/SUM(xPMin!Q2:Q38)</f>
        <v>0.86177001372777529</v>
      </c>
      <c r="J40" s="9">
        <f>SUM(J3:J39)</f>
        <v>-53.734323709961373</v>
      </c>
      <c r="K40" s="13">
        <f>SUM(K3:K39)</f>
        <v>2146.8000000000002</v>
      </c>
      <c r="L40" s="4">
        <f>SUM(L3:L39)</f>
        <v>1607</v>
      </c>
      <c r="M40" s="18">
        <f>SUMPRODUCT(Best!P2:P38,Best!Q2:Q38)/SUM(Best!Q2:Q38)</f>
        <v>1.5301182827102808</v>
      </c>
      <c r="N40" s="9">
        <f>SUM(N3:N39)</f>
        <v>539.79999999999995</v>
      </c>
      <c r="O40" s="4">
        <f>SUM(O3:O39)</f>
        <v>-90</v>
      </c>
      <c r="P40" s="4">
        <f>SUM(P3:P39)</f>
        <v>-235.23432370996139</v>
      </c>
    </row>
    <row r="41" spans="1:16" x14ac:dyDescent="0.45">
      <c r="F41" s="2">
        <f>_xlfn.STDEV.S(F3:F39)</f>
        <v>17.70569036980686</v>
      </c>
      <c r="J41" s="2">
        <f>_xlfn.STDEV.S(J3:J39)</f>
        <v>18.357217738066677</v>
      </c>
      <c r="K41" s="2"/>
      <c r="L41" s="2"/>
      <c r="M41" s="2">
        <f>_xlfn.STDEV.S(M3:M39)</f>
        <v>8.4521927496301524E-2</v>
      </c>
      <c r="N41" s="2"/>
    </row>
  </sheetData>
  <mergeCells count="5">
    <mergeCell ref="O1:P1"/>
    <mergeCell ref="A40:B40"/>
    <mergeCell ref="G1:J1"/>
    <mergeCell ref="C1:F1"/>
    <mergeCell ref="K1:N1"/>
  </mergeCells>
  <conditionalFormatting sqref="O3:O3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{C8E05BEB-3390-4C28-9250-F6164D74772F}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E05BEB-3390-4C28-9250-F6164D7477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xP</vt:lpstr>
      <vt:lpstr>xPMin</vt:lpstr>
      <vt:lpstr>Best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Debnath</dc:creator>
  <cp:lastModifiedBy>Sourav Debnath</cp:lastModifiedBy>
  <dcterms:created xsi:type="dcterms:W3CDTF">2023-08-03T08:04:40Z</dcterms:created>
  <dcterms:modified xsi:type="dcterms:W3CDTF">2023-08-17T12:43:43Z</dcterms:modified>
</cp:coreProperties>
</file>